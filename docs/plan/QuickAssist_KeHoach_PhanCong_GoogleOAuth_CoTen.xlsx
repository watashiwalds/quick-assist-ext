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515b3f1f3748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quan" sheetId="1" r:id="R67268198bc4647bc"/>
    <x:sheet xmlns:r="http://schemas.openxmlformats.org/officeDocument/2006/relationships" name="Ma trận chức năng" sheetId="2" r:id="Rd03c9fac3df041a3"/>
    <x:sheet xmlns:r="http://schemas.openxmlformats.org/officeDocument/2006/relationships" name="Backlog phân công" sheetId="3" r:id="Re781b2c55c314032"/>
    <x:sheet xmlns:r="http://schemas.openxmlformats.org/officeDocument/2006/relationships" name="Timeline 8 tuần" sheetId="4" r:id="Rf4acca98c3fe432c"/>
    <x:sheet xmlns:r="http://schemas.openxmlformats.org/officeDocument/2006/relationships" name="Tải công việc" sheetId="5" r:id="R888596cac37447c9"/>
    <x:sheet xmlns:r="http://schemas.openxmlformats.org/officeDocument/2006/relationships" name="Rủi ro &amp; quyết định" sheetId="6" r:id="Rd6bd6e519ba44997"/>
    <x:sheet xmlns:r="http://schemas.openxmlformats.org/officeDocument/2006/relationships" name="Kế hoạch tuần" sheetId="7" r:id="R0827c91433ba4b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64" formatCode="0.0"/>
  </x:numFmts>
  <x:fonts count="5">
    <x:font>
      <x:sz val="11"/>
      <x:color theme="1"/>
      <x:name val="Calibri"/>
      <x:family val="2"/>
      <x:scheme val="minor"/>
    </x:font>
    <x:font>
      <x:b/>
      <x:sz val="18"/>
      <x:color rgb="FFFFFFFF"/>
    </x:font>
    <x:font>
      <x:b/>
      <x:color rgb="FF17365D"/>
    </x:font>
    <x:font>
      <x:b/>
      <x:sz val="13"/>
      <x:color rgb="FFFFFFFF"/>
    </x:font>
    <x:font>
      <x:b/>
      <x:color rgb="FFFFFFFF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008C95"/>
      </x:patternFill>
    </x:fill>
    <x:fill>
      <x:patternFill patternType="solid">
        <x:fgColor rgb="FF2F75B5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F4CCCC"/>
      </x:patternFill>
    </x:fill>
  </x:fills>
  <x:borders count="6">
    <x:border>
      <x:left/>
      <x:right/>
      <x:top/>
      <x:bottom/>
      <x:diagonal/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/>
      <x:right/>
      <x:top style="thin">
        <x:color rgb="FFB7B7B7"/>
      </x:top>
      <x:bottom/>
      <x:diagonal/>
    </x:border>
    <x:border>
      <x:left/>
      <x:right style="thin">
        <x:color rgb="FFB7B7B7"/>
      </x:right>
      <x:top style="thin">
        <x:color rgb="FFB7B7B7"/>
      </x:top>
      <x:bottom/>
      <x:diagonal/>
    </x:border>
    <x:border>
      <x:left/>
      <x:right/>
      <x:top style="thin">
        <x:color rgb="FFB7B7B7"/>
      </x:top>
      <x:bottom style="thin">
        <x:color rgb="FFB7B7B7"/>
      </x:bottom>
      <x:diagonal/>
    </x:border>
    <x:border>
      <x:left/>
      <x:right style="thin">
        <x:color rgb="FFB7B7B7"/>
      </x:right>
      <x:top style="thin">
        <x:color rgb="FFB7B7B7"/>
      </x:top>
      <x:bottom style="thin">
        <x:color rgb="FFB7B7B7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2" borderId="0" xfId="0" applyAlignment="1">
      <x:alignment horizontal="center" vertical="center"/>
    </x:xf>
    <x:xf numFmtId="0" fontId="2" fillId="3" borderId="1" xfId="0"/>
    <x:xf numFmtId="0" fontId="0" fillId="0" borderId="1" xfId="0" applyAlignment="1">
      <x:alignment vertical="top" wrapText="1"/>
    </x:xf>
    <x:xf numFmtId="0" fontId="0" fillId="0" borderId="4" xfId="0"/>
    <x:xf numFmtId="0" fontId="0" fillId="0" borderId="5" xfId="0"/>
    <x:xf numFmtId="0" fontId="3" fillId="4" borderId="0" xfId="0"/>
    <x:xf numFmtId="0" fontId="4" fillId="5" borderId="1" xfId="0" applyAlignment="1">
      <x:alignment horizontal="center" vertical="center" wrapText="1"/>
    </x:xf>
    <x:xf numFmtId="9" fontId="0" fillId="0" borderId="1" xfId="0" applyAlignment="1">
      <x:alignment vertical="top" wrapText="1"/>
    </x:xf>
    <x:xf numFmtId="0" fontId="0" fillId="0" borderId="1" xfId="0" applyAlignment="1">
      <x:alignment horizontal="center" vertical="center" wrapText="1"/>
    </x:xf>
    <x:xf numFmtId="0" fontId="0" fillId="0" borderId="1" xfId="0" applyAlignment="1">
      <x:alignment horizontal="left" vertical="center" wrapText="1"/>
    </x:xf>
    <x:xf numFmtId="0" fontId="2" fillId="3" borderId="1" xfId="0" applyAlignment="1">
      <x:alignment horizontal="center" vertical="center" wrapText="1"/>
    </x:xf>
    <x:xf numFmtId="0" fontId="2" fillId="6" borderId="1" xfId="0" applyAlignment="1">
      <x:alignment horizontal="center" vertical="center" wrapText="1"/>
    </x:xf>
    <x:xf numFmtId="0" fontId="2" fillId="7" borderId="1" xfId="0" applyAlignment="1">
      <x:alignment horizontal="center" vertical="center" wrapText="1"/>
    </x:xf>
    <x:xf numFmtId="0" fontId="2" fillId="8" borderId="1" xfId="0" applyAlignment="1">
      <x:alignment horizontal="center" vertical="center" wrapText="1"/>
    </x:xf>
    <x:xf numFmtId="164" fontId="0" fillId="0" borderId="1" xfId="0" applyAlignment="1">
      <x:alignment vertical="top" wrapText="1"/>
    </x:xf>
    <x:xf numFmtId="0" fontId="2" fillId="3" borderId="1" xfId="0" applyAlignment="1">
      <x:alignment wrapText="1"/>
    </x:xf>
    <x:xf numFmtId="0" fontId="0" fillId="0" borderId="1" xfId="0" applyAlignment="1">
      <x:alignment wrapText="1"/>
    </x:xf>
    <x:xf numFmtId="0" fontId="0" fillId="9" borderId="1" xfId="0" applyAlignment="1">
      <x:alignment vertical="top" wrapText="1"/>
    </x:xf>
    <x:xf numFmtId="0" fontId="0" fillId="8" borderId="1" xfId="0" applyAlignment="1">
      <x:alignment vertical="top" wrapText="1"/>
    </x:xf>
    <x:xf numFmtId="0" fontId="2" fillId="3" borderId="1" xfId="0" applyAlignment="1">
      <x:alignment vertical="top" wrapText="1"/>
    </x:xf>
  </x:cellXfs>
  <x:cellStyles count="1">
    <x:cellStyle name="Normal" xfId="0"/>
  </x:cellStyles>
  <x:dxfs count="1">
    <x:dxf>
      <x:fill>
        <x:patternFill>
          <x:bgColor rgb="00F4CCCC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c63c480d7b440c" /><Relationship Type="http://schemas.openxmlformats.org/officeDocument/2006/relationships/theme" Target="/xl/theme/theme1.xml" Id="R9dee78fa7a5848a0" /><Relationship Type="http://schemas.openxmlformats.org/officeDocument/2006/relationships/sharedStrings" Target="/xl/sharedStrings.xml" Id="R474d11244a6d4010" /><Relationship Type="http://schemas.openxmlformats.org/officeDocument/2006/relationships/worksheet" Target="/xl/worksheets/sheet1.xml" Id="R67268198bc4647bc" /><Relationship Type="http://schemas.openxmlformats.org/officeDocument/2006/relationships/worksheet" Target="/xl/worksheets/sheet2.xml" Id="Rd03c9fac3df041a3" /><Relationship Type="http://schemas.openxmlformats.org/officeDocument/2006/relationships/worksheet" Target="/xl/worksheets/sheet3.xml" Id="Re781b2c55c314032" /><Relationship Type="http://schemas.openxmlformats.org/officeDocument/2006/relationships/worksheet" Target="/xl/worksheets/sheet4.xml" Id="Rf4acca98c3fe432c" /><Relationship Type="http://schemas.openxmlformats.org/officeDocument/2006/relationships/worksheet" Target="/xl/worksheets/sheet5.xml" Id="R888596cac37447c9" /><Relationship Type="http://schemas.openxmlformats.org/officeDocument/2006/relationships/worksheet" Target="/xl/worksheets/sheet6.xml" Id="Rd6bd6e519ba44997" /><Relationship Type="http://schemas.openxmlformats.org/officeDocument/2006/relationships/worksheet" Target="/xl/worksheets/sheet7.xml" Id="R0827c91433ba4b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9e51e626b76458d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Tổng giờ dự kiến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strRef>
              <c:f>'Tải công việc'!D3</c:f>
              <c:strCache>
                <c:ptCount val="1"/>
                <c:pt idx="0">
                  <c:v/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'Tải công việc'!$A$4:$A$7</c:f>
              <c:strCache>
                <c:ptCount val="0"/>
              </c:strCache>
            </c:strRef>
          </c:cat>
          <c:val>
            <c:numRef>
              <c:f>'Tải công việc'!$D$4:$D$7</c:f>
              <c:numCache>
                <c:formatCode>General</c:formatCode>
                <c:ptCount val="0"/>
              </c:numCache>
            </c:numRef>
          </c:val>
        </c:ser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Thành viên</a:t>
                </a:r>
              </a:p>
            </c:rich>
          </c:tx>
        </c:title>
        <c:numFmt formatCode="General"/>
        <c:majorTickMark val="none"/>
        <c:minorTickMark val="none"/>
        <c:crossAx val="100"/>
        <c:lblOffset val="10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buNone/>
                </a:pPr>
                <a:r>
                  <a:t>Giờ</a:t>
                </a:r>
              </a:p>
            </c:rich>
          </c:tx>
        </c:title>
        <c:numFmt formatCode="General"/>
        <c:majorTickMark val="none"/>
        <c:minorTickMark val="none"/>
        <c:crossAx val="10"/>
        <c:crossBetween val="between"/>
      </c:valAx>
    </c:plotArea>
    <c:legend>
      <c:legendPos val="r"/>
      <c:overlay val="0"/>
    </c:legend>
    <c:plotVisOnly val="1"/>
    <c:dispBlanksAs val="gap"/>
  </c:chart>
</c:chartSpace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12</xdr:row>
      <xdr:rowOff>0</xdr:rowOff>
    </xdr:from>
    <xdr:ext cx="5040000" cy="25200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e51e626b76458d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98f127a079ca411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baseColWidth="8" defaultRowHeight="15"/>
  <x:cols>
    <x:col min="1" max="1" width="21" customWidth="1"/>
    <x:col min="2" max="2" width="28" customWidth="1"/>
    <x:col min="3" max="3" width="18" customWidth="1"/>
    <x:col min="4" max="4" width="18" customWidth="1"/>
    <x:col min="5" max="5" width="18" customWidth="1"/>
    <x:col min="6" max="6" width="18" customWidth="1"/>
  </x:cols>
  <x:sheetData>
    <x:row r="1" ht="30" customHeight="1">
      <x:c r="A1" s="1" t="inlineStr">
        <x:is>
          <x:t xml:space="preserve">QUICKASSIST — PHÂN TÍCH &amp; KẾ HOẠCH NHÓM 4 NGƯỜI</x:t>
        </x:is>
      </x:c>
    </x:row>
    <x:row r="2"/>
    <x:row r="3">
      <x:c r="A3" s="2" t="inlineStr">
        <x:is>
          <x:t xml:space="preserve">Mục tiêu</x:t>
        </x:is>
      </x:c>
      <x:c r="B3" s="3" t="inlineStr">
        <x:is>
          <x:t xml:space="preserve">Xây extension ghi chú nhanh, quản lý note và tra cứu ngữ nghĩa; kiến trúc mở để dùng dịch vụ hoặc tự triển khai.</x:t>
        </x:is>
      </x:c>
      <x:c r="C3" s="4" t="n"/>
      <x:c r="D3" s="4" t="n"/>
      <x:c r="E3" s="4" t="n"/>
      <x:c r="F3" s="5" t="n"/>
    </x:row>
    <x:row r="4">
      <x:c r="A4" s="2" t="inlineStr">
        <x:is>
          <x:t xml:space="preserve">Mốc kế hoạch</x:t>
        </x:is>
      </x:c>
      <x:c r="B4" s="3" t="inlineStr">
        <x:is>
          <x:t xml:space="preserve">8 tuần — khóa phạm vi P0 trước; P1 chỉ làm sau khi P0 đạt Definition of Done.</x:t>
        </x:is>
      </x:c>
      <x:c r="C4" s="4" t="n"/>
      <x:c r="D4" s="4" t="n"/>
      <x:c r="E4" s="4" t="n"/>
      <x:c r="F4" s="5" t="n"/>
    </x:row>
    <x:row r="5">
      <x:c r="A5" s="2" t="inlineStr">
        <x:is>
          <x:t xml:space="preserve">MVP đề xuất</x:t>
        </x:is>
      </x:c>
      <x:c r="B5" s="3" t="inlineStr">
        <x:is>
          <x:t xml:space="preserve">Google OAuth + ghi chú nhanh + thư viện/CRUD/cache + RAG cơ bản + bảo mật/kiểm thử.</x:t>
        </x:is>
      </x:c>
      <x:c r="C5" s="4" t="n"/>
      <x:c r="D5" s="4" t="n"/>
      <x:c r="E5" s="4" t="n"/>
      <x:c r="F5" s="5" t="n"/>
    </x:row>
    <x:row r="6">
      <x:c r="A6" s="2" t="inlineStr">
        <x:is>
          <x:t xml:space="preserve">Ngoài MVP</x:t>
        </x:is>
      </x:c>
      <x:c r="B6" s="3" t="inlineStr">
        <x:is>
          <x:t xml:space="preserve">Skim trang là P1; tóm tắt phải bổ sung kịch bản trước khi triển khai.</x:t>
        </x:is>
      </x:c>
      <x:c r="C6" s="4" t="n"/>
      <x:c r="D6" s="4" t="n"/>
      <x:c r="E6" s="4" t="n"/>
      <x:c r="F6" s="5" t="n"/>
    </x:row>
    <x:row r="7">
      <x:c r="A7" s="2" t="inlineStr">
        <x:is>
          <x:t xml:space="preserve">Nguồn phân tích</x:t>
        </x:is>
      </x:c>
      <x:c r="B7" s="3" t="inlineStr">
        <x:is>
          <x:t xml:space="preserve">Nhóm 1 - Báo cáo ý tưởng đề tài.docx; Kịch bản chức năng QuickAssist_1.xlsx</x:t>
        </x:is>
      </x:c>
      <x:c r="C7" s="4" t="n"/>
      <x:c r="D7" s="4" t="n"/>
      <x:c r="E7" s="4" t="n"/>
      <x:c r="F7" s="5" t="n"/>
    </x:row>
    <x:row r="8"/>
    <x:row r="9">
      <x:c r="A9" s="6" t="inlineStr">
        <x:is>
          <x:t xml:space="preserve">Nhận định chính</x:t>
        </x:is>
      </x:c>
    </x:row>
    <x:row r="10">
      <x:c r="A10" s="3" t="inlineStr">
        <x:is>
          <x:t xml:space="preserve">1.</x:t>
        </x:is>
      </x:c>
      <x:c r="B10" s="3" t="inlineStr">
        <x:is>
          <x:t xml:space="preserve">Kiến trúc gồm Extension/UI ↔ Server ↔ AI Provider, với PostgreSQL + pgvector và IndexedDB làm cache/offline.</x:t>
        </x:is>
      </x:c>
      <x:c r="C10" s="4" t="n"/>
      <x:c r="D10" s="4" t="n"/>
      <x:c r="E10" s="4" t="n"/>
      <x:c r="F10" s="5" t="n"/>
    </x:row>
    <x:row r="11">
      <x:c r="A11" s="3" t="inlineStr">
        <x:is>
          <x:t xml:space="preserve">2.</x:t>
        </x:is>
      </x:c>
      <x:c r="B11" s="3" t="inlineStr">
        <x:is>
          <x:t xml:space="preserve">Kịch bản đã mô tả tốt 5 luồng: ghi chú nhanh, skim trang, duyệt note, RAG và CRUD; nhưng account/auth mới ở mức ý tưởng.</x:t>
        </x:is>
      </x:c>
      <x:c r="C11" s="4" t="n"/>
      <x:c r="D11" s="4" t="n"/>
      <x:c r="E11" s="4" t="n"/>
      <x:c r="F11" s="5" t="n"/>
    </x:row>
    <x:row r="12">
      <x:c r="A12" s="3" t="inlineStr">
        <x:is>
          <x:t xml:space="preserve">3.</x:t>
        </x:is>
      </x:c>
      <x:c r="B12" s="3" t="inlineStr">
        <x:is>
          <x:t xml:space="preserve">Mấu chốt dữ liệu là ownership theo user, metadata/category, UUID note/chunk, quota và đồng bộ local–server.</x:t>
        </x:is>
      </x:c>
      <x:c r="C12" s="4" t="n"/>
      <x:c r="D12" s="4" t="n"/>
      <x:c r="E12" s="4" t="n"/>
      <x:c r="F12" s="5" t="n"/>
    </x:row>
    <x:row r="13">
      <x:c r="A13" s="3" t="inlineStr">
        <x:is>
          <x:t xml:space="preserve">4.</x:t>
        </x:is>
      </x:c>
      <x:c r="B13" s="3" t="inlineStr">
        <x:is>
          <x:t xml:space="preserve">Hai contract phải chốt trước code: endpoint ghi chú và quy tắc response/error/idempotency.</x:t>
        </x:is>
      </x:c>
      <x:c r="C13" s="4" t="n"/>
      <x:c r="D13" s="4" t="n"/>
      <x:c r="E13" s="4" t="n"/>
      <x:c r="F13" s="5" t="n"/>
    </x:row>
    <x:row r="14">
      <x:c r="A14" s="3" t="inlineStr">
        <x:is>
          <x:t xml:space="preserve">5.</x:t>
        </x:is>
      </x:c>
      <x:c r="B14" s="3" t="inlineStr">
        <x:is>
          <x:t xml:space="preserve">Tóm tắt nội dung chưa đủ đặc tả; không nên cam kết trong MVP trước khi hoàn thành G01.</x:t>
        </x:is>
      </x:c>
      <x:c r="C14" s="4" t="n"/>
      <x:c r="D14" s="4" t="n"/>
      <x:c r="E14" s="4" t="n"/>
      <x:c r="F14" s="5" t="n"/>
    </x:row>
    <x:row r="15">
      <x:c r="A15" s="3" t="inlineStr">
        <x:is>
          <x:t xml:space="preserve">6.</x:t>
        </x:is>
      </x:c>
      <x:c r="B15" s="3" t="inlineStr">
        <x:is>
          <x:t xml:space="preserve">RAG nên có benchmark chất lượng/độ trễ; luôn có timeout/fallback để demo không phụ thuộc tuyệt đối vào provider.</x:t>
        </x:is>
      </x:c>
      <x:c r="C15" s="4" t="n"/>
      <x:c r="D15" s="4" t="n"/>
      <x:c r="E15" s="4" t="n"/>
      <x:c r="F15" s="5" t="n"/>
    </x:row>
    <x:row r="16"/>
    <x:row r="17"/>
    <x:row r="18">
      <x:c r="A18" s="7" t="inlineStr">
        <x:is>
          <x:t xml:space="preserve">Thành viên</x:t>
        </x:is>
      </x:c>
      <x:c r="B18" s="7" t="inlineStr">
        <x:is>
          <x:t xml:space="preserve">Vai trò chính</x:t>
        </x:is>
      </x:c>
      <x:c r="C18" s="7" t="inlineStr">
        <x:is>
          <x:t xml:space="preserve">Trách nhiệm</x:t>
        </x:is>
      </x:c>
      <x:c r="D18" s="4" t="n"/>
      <x:c r="E18" s="4" t="n"/>
      <x:c r="F18" s="5" t="n"/>
    </x:row>
    <x:row r="19">
      <x:c r="A19" s="3" t="inlineStr">
        <x:is>
          <x:t xml:space="preserve">Lê Đăng Sơn</x:t>
        </x:is>
      </x:c>
      <x:c r="B19" s="3" t="inlineStr">
        <x:is>
          <x:t xml:space="preserve">Tech Lead / Browser Extension</x:t>
        </x:is>
      </x:c>
      <x:c r="C19" s="3" t="inlineStr">
        <x:is>
          <x:t xml:space="preserve">Kiến trúc tổng thể, Manifest V3, TypeScript, IndexedDB, tích hợp UI–API</x:t>
        </x:is>
      </x:c>
      <x:c r="D19" s="4" t="n"/>
      <x:c r="E19" s="4" t="n"/>
      <x:c r="F19" s="5" t="n"/>
    </x:row>
    <x:row r="20">
      <x:c r="A20" s="3" t="inlineStr">
        <x:is>
          <x:t xml:space="preserve">Trịnh Mạnh Quang</x:t>
        </x:is>
      </x:c>
      <x:c r="B20" s="3" t="inlineStr">
        <x:is>
          <x:t xml:space="preserve">Backend Lead</x:t>
        </x:is>
      </x:c>
      <x:c r="C20" s="3" t="inlineStr">
        <x:is>
          <x:t xml:space="preserve">API Python, xác thực, PostgreSQL/pgvector, quota, đồng bộ dữ liệu</x:t>
        </x:is>
      </x:c>
      <x:c r="D20" s="4" t="n"/>
      <x:c r="E20" s="4" t="n"/>
      <x:c r="F20" s="5" t="n"/>
    </x:row>
    <x:row r="21">
      <x:c r="A21" s="3" t="inlineStr">
        <x:is>
          <x:t xml:space="preserve">Mai Đức Vinh</x:t>
        </x:is>
      </x:c>
      <x:c r="B21" s="3" t="inlineStr">
        <x:is>
          <x:t xml:space="preserve">AI/RAG Lead</x:t>
        </x:is>
      </x:c>
      <x:c r="C21" s="3" t="inlineStr">
        <x:is>
          <x:t xml:space="preserve">Chunking, embedding, hybrid search, reranking, đánh giá chất lượng AI</x:t>
        </x:is>
      </x:c>
      <x:c r="D21" s="4" t="n"/>
      <x:c r="E21" s="4" t="n"/>
      <x:c r="F21" s="5" t="n"/>
    </x:row>
    <x:row r="22">
      <x:c r="A22" s="3" t="inlineStr">
        <x:is>
          <x:t xml:space="preserve">Trần Thùy Dương</x:t>
        </x:is>
      </x:c>
      <x:c r="B22" s="3" t="inlineStr">
        <x:is>
          <x:t xml:space="preserve">UI/UX &amp; QA Lead</x:t>
        </x:is>
      </x:c>
      <x:c r="C22" s="3" t="inlineStr">
        <x:is>
          <x:t xml:space="preserve">Luồng giao diện, trạng thái lỗi, kiểm thử, tài liệu và demo</x:t>
        </x:is>
      </x:c>
      <x:c r="D22" s="4" t="n"/>
      <x:c r="E22" s="4" t="n"/>
      <x:c r="F22" s="5" t="n"/>
    </x:row>
    <x:row r="23"/>
    <x:row r="24"/>
    <x:row r="25">
      <x:c r="A25" s="6" t="inlineStr">
        <x:is>
          <x:t xml:space="preserve">Definition of Done chung</x:t>
        </x:is>
      </x:c>
    </x:row>
    <x:row r="26">
      <x:c r="A26" s="3" t="inlineStr">
        <x:is>
          <x:t xml:space="preserve">✓</x:t>
        </x:is>
      </x:c>
      <x:c r="B26" s="3" t="inlineStr">
        <x:is>
          <x:t xml:space="preserve">Có acceptance criteria và test tương ứng; code được thành viên phối hợp review.</x:t>
        </x:is>
      </x:c>
      <x:c r="C26" s="4" t="n"/>
      <x:c r="D26" s="4" t="n"/>
      <x:c r="E26" s="4" t="n"/>
      <x:c r="F26" s="5" t="n"/>
    </x:row>
    <x:row r="27">
      <x:c r="A27" s="3" t="inlineStr">
        <x:is>
          <x:t xml:space="preserve">✓</x:t>
        </x:is>
      </x:c>
      <x:c r="B27" s="3" t="inlineStr">
        <x:is>
          <x:t xml:space="preserve">Build/lint/unit/integration liên quan đều pass; không còn lỗi P0/P1 mở.</x:t>
        </x:is>
      </x:c>
      <x:c r="C27" s="4" t="n"/>
      <x:c r="D27" s="4" t="n"/>
      <x:c r="E27" s="4" t="n"/>
      <x:c r="F27" s="5" t="n"/>
    </x:row>
    <x:row r="28">
      <x:c r="A28" s="3" t="inlineStr">
        <x:is>
          <x:t xml:space="preserve">✓</x:t>
        </x:is>
      </x:c>
      <x:c r="B28" s="3" t="inlineStr">
        <x:is>
          <x:t xml:space="preserve">Không log token/nội dung nhạy cảm; kiểm tra ownership và validation ở server.</x:t>
        </x:is>
      </x:c>
      <x:c r="C28" s="4" t="n"/>
      <x:c r="D28" s="4" t="n"/>
      <x:c r="E28" s="4" t="n"/>
      <x:c r="F28" s="5" t="n"/>
    </x:row>
    <x:row r="29">
      <x:c r="A29" s="3" t="inlineStr">
        <x:is>
          <x:t xml:space="preserve">✓</x:t>
        </x:is>
      </x:c>
      <x:c r="B29" s="3" t="inlineStr">
        <x:is>
          <x:t xml:space="preserve">API/schema/tài liệu được cập nhật cùng thay đổi; demo được trên dữ liệu mẫu.</x:t>
        </x:is>
      </x:c>
      <x:c r="C29" s="4" t="n"/>
      <x:c r="D29" s="4" t="n"/>
      <x:c r="E29" s="4" t="n"/>
      <x:c r="F29" s="5" t="n"/>
    </x:row>
  </x:sheetData>
  <x:mergeCells>
    <x:mergeCell ref="B4:F4"/>
    <x:mergeCell ref="B7:F7"/>
    <x:mergeCell ref="B3:F3"/>
    <x:mergeCell ref="C19:F19"/>
    <x:mergeCell ref="B27:F27"/>
    <x:mergeCell ref="C18:F18"/>
    <x:mergeCell ref="B12:F12"/>
    <x:mergeCell ref="B11:F11"/>
    <x:mergeCell ref="B14:F14"/>
    <x:mergeCell ref="B13:F13"/>
    <x:mergeCell ref="B29:F29"/>
    <x:mergeCell ref="B10:F10"/>
    <x:mergeCell ref="C20:F20"/>
    <x:mergeCell ref="B28:F28"/>
    <x:mergeCell ref="A9:F9"/>
    <x:mergeCell ref="C22:F22"/>
    <x:mergeCell ref="B6:F6"/>
    <x:mergeCell ref="B15:F15"/>
    <x:mergeCell ref="A1:F1"/>
    <x:mergeCell ref="B5:F5"/>
    <x:mergeCell ref="C21:F21"/>
    <x:mergeCell ref="B26:F26"/>
    <x:mergeCell ref="A25:F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30" customWidth="1"/>
    <x:col min="2" max="2" width="18" customWidth="1"/>
    <x:col min="3" max="3" width="18" customWidth="1"/>
    <x:col min="4" max="4" width="12" customWidth="1"/>
    <x:col min="5" max="5" width="65" customWidth="1"/>
  </x:cols>
  <x:sheetData>
    <x:row r="1" ht="30" customHeight="1">
      <x:c r="A1" s="1" t="inlineStr">
        <x:is>
          <x:t xml:space="preserve">MA TRẬN PHẠM VI &amp; MỨC ĐỘ ĐẶC TẢ</x:t>
        </x:is>
      </x:c>
    </x:row>
    <x:row r="2"/>
    <x:row r="3">
      <x:c r="A3" s="7" t="inlineStr">
        <x:is>
          <x:t xml:space="preserve">Chức năng</x:t>
        </x:is>
      </x:c>
      <x:c r="B3" s="7" t="inlineStr">
        <x:is>
          <x:t xml:space="preserve">Nguồn</x:t>
        </x:is>
      </x:c>
      <x:c r="C3" s="7" t="inlineStr">
        <x:is>
          <x:t xml:space="preserve">Mức đặc tả</x:t>
        </x:is>
      </x:c>
      <x:c r="D3" s="7" t="inlineStr">
        <x:is>
          <x:t xml:space="preserve">Ưu tiên</x:t>
        </x:is>
      </x:c>
      <x:c r="E3" s="7" t="inlineStr">
        <x:is>
          <x:t xml:space="preserve">Nhận xét / quyết định</x:t>
        </x:is>
      </x:c>
    </x:row>
    <x:row r="4">
      <x:c r="A4" s="3" t="inlineStr">
        <x:is>
          <x:t xml:space="preserve">Tài khoản cá nhân</x:t>
        </x:is>
      </x:c>
      <x:c r="B4" s="3" t="inlineStr">
        <x:is>
          <x:t xml:space="preserve">Word</x:t>
        </x:is>
      </x:c>
      <x:c r="C4" s="3" t="inlineStr">
        <x:is>
          <x:t xml:space="preserve">Một phần</x:t>
        </x:is>
      </x:c>
      <x:c r="D4" s="3" t="inlineStr">
        <x:is>
          <x:t xml:space="preserve">P0</x:t>
        </x:is>
      </x:c>
      <x:c r="E4" s="3" t="inlineStr">
        <x:is>
          <x:t xml:space="preserve">Google OAuth 2.0 + app session, quota và quyền riêng tư</x:t>
        </x:is>
      </x:c>
    </x:row>
    <x:row r="5">
      <x:c r="A5" s="3" t="inlineStr">
        <x:is>
          <x:t xml:space="preserve">Ghi chú nhanh</x:t>
        </x:is>
      </x:c>
      <x:c r="B5" s="3" t="inlineStr">
        <x:is>
          <x:t xml:space="preserve">Word + Excel</x:t>
        </x:is>
      </x:c>
      <x:c r="C5" s="3" t="inlineStr">
        <x:is>
          <x:t xml:space="preserve">Chi tiết</x:t>
        </x:is>
      </x:c>
      <x:c r="D5" s="3" t="inlineStr">
        <x:is>
          <x:t xml:space="preserve">P0</x:t>
        </x:is>
      </x:c>
      <x:c r="E5" s="3" t="inlineStr">
        <x:is>
          <x:t xml:space="preserve">Luồng selection → undo 5s → lưu → AI xử lý → local state</x:t>
        </x:is>
      </x:c>
    </x:row>
    <x:row r="6">
      <x:c r="A6" s="3" t="inlineStr">
        <x:is>
          <x:t xml:space="preserve">Tìm văn bản nổi bật trên trang</x:t>
        </x:is>
      </x:c>
      <x:c r="B6" s="3" t="inlineStr">
        <x:is>
          <x:t xml:space="preserve">Excel</x:t>
        </x:is>
      </x:c>
      <x:c r="C6" s="3" t="inlineStr">
        <x:is>
          <x:t xml:space="preserve">Chi tiết</x:t>
        </x:is>
      </x:c>
      <x:c r="D6" s="3" t="inlineStr">
        <x:is>
          <x:t xml:space="preserve">P1</x:t>
        </x:is>
      </x:c>
      <x:c r="E6" s="3" t="inlineStr">
        <x:is>
          <x:t xml:space="preserve">Readability + session tạm + hybrid search + chọn đoạn để lưu</x:t>
        </x:is>
      </x:c>
    </x:row>
    <x:row r="7">
      <x:c r="A7" s="3" t="inlineStr">
        <x:is>
          <x:t xml:space="preserve">Duyệt note/cache</x:t>
        </x:is>
      </x:c>
      <x:c r="B7" s="3" t="inlineStr">
        <x:is>
          <x:t xml:space="preserve">Excel</x:t>
        </x:is>
      </x:c>
      <x:c r="C7" s="3" t="inlineStr">
        <x:is>
          <x:t xml:space="preserve">Chi tiết</x:t>
        </x:is>
      </x:c>
      <x:c r="D7" s="3" t="inlineStr">
        <x:is>
          <x:t xml:space="preserve">P0</x:t>
        </x:is>
      </x:c>
      <x:c r="E7" s="3" t="inlineStr">
        <x:is>
          <x:t xml:space="preserve">Cache-first IndexedDB, sync server và hiển thị thư viện</x:t>
        </x:is>
      </x:c>
    </x:row>
    <x:row r="8">
      <x:c r="A8" s="3" t="inlineStr">
        <x:is>
          <x:t xml:space="preserve">Tra cứu note RAG-like</x:t>
        </x:is>
      </x:c>
      <x:c r="B8" s="3" t="inlineStr">
        <x:is>
          <x:t xml:space="preserve">Word + Excel</x:t>
        </x:is>
      </x:c>
      <x:c r="C8" s="3" t="inlineStr">
        <x:is>
          <x:t xml:space="preserve">Chi tiết</x:t>
        </x:is>
      </x:c>
      <x:c r="D8" s="3" t="inlineStr">
        <x:is>
          <x:t xml:space="preserve">P0</x:t>
        </x:is>
      </x:c>
      <x:c r="E8" s="3" t="inlineStr">
        <x:is>
          <x:t xml:space="preserve">Filter theo user/category; BM25 + vector + rerank</x:t>
        </x:is>
      </x:c>
    </x:row>
    <x:row r="9">
      <x:c r="A9" s="3" t="inlineStr">
        <x:is>
          <x:t xml:space="preserve">Note CRUD</x:t>
        </x:is>
      </x:c>
      <x:c r="B9" s="3" t="inlineStr">
        <x:is>
          <x:t xml:space="preserve">Excel</x:t>
        </x:is>
      </x:c>
      <x:c r="C9" s="3" t="inlineStr">
        <x:is>
          <x:t xml:space="preserve">Chi tiết</x:t>
        </x:is>
      </x:c>
      <x:c r="D9" s="3" t="inlineStr">
        <x:is>
          <x:t xml:space="preserve">P0</x:t>
        </x:is>
      </x:c>
      <x:c r="E9" s="3" t="inlineStr">
        <x:is>
          <x:t xml:space="preserve">Sửa/xoá/bulk delete và cập nhật local tương ứng</x:t>
        </x:is>
      </x:c>
    </x:row>
    <x:row r="10">
      <x:c r="A10" s="3" t="inlineStr">
        <x:is>
          <x:t xml:space="preserve">Tóm tắt nội dung</x:t>
        </x:is>
      </x:c>
      <x:c r="B10" s="3" t="inlineStr">
        <x:is>
          <x:t xml:space="preserve">Word</x:t>
        </x:is>
      </x:c>
      <x:c r="C10" s="3" t="inlineStr">
        <x:is>
          <x:t xml:space="preserve">Thiếu kịch bản</x:t>
        </x:is>
      </x:c>
      <x:c r="D10" s="3" t="inlineStr">
        <x:is>
          <x:t xml:space="preserve">P1</x:t>
        </x:is>
      </x:c>
      <x:c r="E10" s="3" t="inlineStr">
        <x:is>
          <x:t xml:space="preserve">Phải bổ sung scenario, API, UI, quota, lưu trữ và acceptance</x:t>
        </x:is>
      </x:c>
    </x:row>
    <x:row r="11">
      <x:c r="A11" s="3" t="inlineStr">
        <x:is>
          <x:t xml:space="preserve">Tự triển khai/local AI</x:t>
        </x:is>
      </x:c>
      <x:c r="B11" s="3" t="inlineStr">
        <x:is>
          <x:t xml:space="preserve">Word</x:t>
        </x:is>
      </x:c>
      <x:c r="C11" s="3" t="inlineStr">
        <x:is>
          <x:t xml:space="preserve">Định hướng</x:t>
        </x:is>
      </x:c>
      <x:c r="D11" s="3" t="inlineStr">
        <x:is>
          <x:t xml:space="preserve">P1</x:t>
        </x:is>
      </x:c>
      <x:c r="E11" s="3" t="inlineStr">
        <x:is>
          <x:t xml:space="preserve">Cần adapter và hướng dẫn cấu hình, không khóa vào một provider</x:t>
        </x:is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9" customWidth="1"/>
    <x:col min="2" max="2" width="15" customWidth="1"/>
    <x:col min="3" max="3" width="16" customWidth="1"/>
    <x:col min="4" max="4" width="48" customWidth="1"/>
    <x:col min="5" max="5" width="22" customWidth="1"/>
    <x:col min="6" max="6" width="22" customWidth="1"/>
    <x:col min="7" max="7" width="9" customWidth="1"/>
    <x:col min="8" max="8" width="9" customWidth="1"/>
    <x:col min="9" max="9" width="8" customWidth="1"/>
    <x:col min="10" max="10" width="9" customWidth="1"/>
    <x:col min="11" max="11" width="18" customWidth="1"/>
    <x:col min="12" max="12" width="28" customWidth="1"/>
    <x:col min="13" max="13" width="48" customWidth="1"/>
    <x:col min="14" max="14" width="17" customWidth="1"/>
    <x:col min="15" max="15" width="14" customWidth="1"/>
  </x:cols>
  <x:sheetData>
    <x:row r="1" ht="30" customHeight="1">
      <x:c r="A1" s="1" t="inlineStr">
        <x:is>
          <x:t xml:space="preserve">BACKLOG PHÂN CÔNG CHI TIẾT</x:t>
        </x:is>
      </x:c>
    </x:row>
    <x:row r="2"/>
    <x:row r="3">
      <x:c r="A3" s="7" t="inlineStr">
        <x:is>
          <x:t xml:space="preserve">ID</x:t>
        </x:is>
      </x:c>
      <x:c r="B3" s="7" t="inlineStr">
        <x:is>
          <x:t xml:space="preserve">Giai đoạn</x:t>
        </x:is>
      </x:c>
      <x:c r="C3" s="7" t="inlineStr">
        <x:is>
          <x:t xml:space="preserve">Hạng mục</x:t>
        </x:is>
      </x:c>
      <x:c r="D3" s="7" t="inlineStr">
        <x:is>
          <x:t xml:space="preserve">Task</x:t>
        </x:is>
      </x:c>
      <x:c r="E3" s="7" t="inlineStr">
        <x:is>
          <x:t xml:space="preserve">Người phụ trách</x:t>
        </x:is>
      </x:c>
      <x:c r="F3" s="7" t="inlineStr">
        <x:is>
          <x:t xml:space="preserve">Phối hợp</x:t>
        </x:is>
      </x:c>
      <x:c r="G3" s="7" t="inlineStr">
        <x:is>
          <x:t xml:space="preserve">Tuần BĐ</x:t>
        </x:is>
      </x:c>
      <x:c r="H3" s="7" t="inlineStr">
        <x:is>
          <x:t xml:space="preserve">Tuần KT</x:t>
        </x:is>
      </x:c>
      <x:c r="I3" s="7" t="inlineStr">
        <x:is>
          <x:t xml:space="preserve">Giờ</x:t>
        </x:is>
      </x:c>
      <x:c r="J3" s="7" t="inlineStr">
        <x:is>
          <x:t xml:space="preserve">Ưu tiên</x:t>
        </x:is>
      </x:c>
      <x:c r="K3" s="7" t="inlineStr">
        <x:is>
          <x:t xml:space="preserve">Phụ thuộc</x:t>
        </x:is>
      </x:c>
      <x:c r="L3" s="7" t="inlineStr">
        <x:is>
          <x:t xml:space="preserve">Deliverable</x:t>
        </x:is>
      </x:c>
      <x:c r="M3" s="7" t="inlineStr">
        <x:is>
          <x:t xml:space="preserve">Tiêu chí nghiệm thu</x:t>
        </x:is>
      </x:c>
      <x:c r="N3" s="7" t="inlineStr">
        <x:is>
          <x:t xml:space="preserve">Trạng thái</x:t>
        </x:is>
      </x:c>
      <x:c r="O3" s="7" t="inlineStr">
        <x:is>
          <x:t xml:space="preserve">% hoàn thành</x:t>
        </x:is>
      </x:c>
    </x:row>
    <x:row r="4">
      <x:c r="A4" s="3" t="inlineStr">
        <x:is>
          <x:t xml:space="preserve">P01</x:t>
        </x:is>
      </x:c>
      <x:c r="B4" s="3" t="inlineStr">
        <x:is>
          <x:t xml:space="preserve">Khởi động</x:t>
        </x:is>
      </x:c>
      <x:c r="C4" s="3" t="inlineStr">
        <x:is>
          <x:t xml:space="preserve">Kiến trúc</x:t>
        </x:is>
      </x:c>
      <x:c r="D4" s="3" t="inlineStr">
        <x:is>
          <x:t xml:space="preserve">Chốt kiến trúc, module, luồng dữ liệu và ADR</x:t>
        </x:is>
      </x:c>
      <x:c r="E4" s="3" t="inlineStr">
        <x:is>
          <x:t xml:space="preserve">Lê Đăng Sơn</x:t>
        </x:is>
      </x:c>
      <x:c r="F4" s="3" t="inlineStr">
        <x:is>
          <x:t xml:space="preserve">Trịnh Mạnh Quang</x:t>
        </x:is>
      </x:c>
      <x:c r="G4" s="3" t="n">
        <x:v>1</x:v>
      </x:c>
      <x:c r="H4" s="3" t="n">
        <x:v>1</x:v>
      </x:c>
      <x:c r="I4" s="3" t="n">
        <x:v>6</x:v>
      </x:c>
      <x:c r="J4" s="3" t="inlineStr">
        <x:is>
          <x:t xml:space="preserve">P0</x:t>
        </x:is>
      </x:c>
      <x:c r="K4" s="3" t="inlineStr">
        <x:is>
          <x:t xml:space="preserve"/>
        </x:is>
      </x:c>
      <x:c r="L4" s="3" t="inlineStr">
        <x:is>
          <x:t xml:space="preserve">Sơ đồ kiến trúc + ADR</x:t>
        </x:is>
      </x:c>
      <x:c r="M4" s="3" t="inlineStr">
        <x:is>
          <x:t xml:space="preserve">Nhóm duyệt; thể hiện extension/server/AI/DB và ranh giới dữ liệu</x:t>
        </x:is>
      </x:c>
      <x:c r="N4" s="3" t="str">
        <x:v>Đang thực hiện</x:v>
      </x:c>
      <x:c r="O4" s="8" t="n">
        <x:v>0.9</x:v>
      </x:c>
    </x:row>
    <x:row r="5">
      <x:c r="A5" s="3" t="inlineStr">
        <x:is>
          <x:t xml:space="preserve">P02</x:t>
        </x:is>
      </x:c>
      <x:c r="B5" s="3" t="inlineStr">
        <x:is>
          <x:t xml:space="preserve">Khởi động</x:t>
        </x:is>
      </x:c>
      <x:c r="C5" s="3" t="inlineStr">
        <x:is>
          <x:t xml:space="preserve">API &amp; dữ liệu</x:t>
        </x:is>
      </x:c>
      <x:c r="D5" s="3" t="inlineStr">
        <x:is>
          <x:t xml:space="preserve">Chuẩn hoá endpoint, Google OAuth callback/session và data contract; xử lý xung đột /notes/quick, /notes, /notes/ragged</x:t>
        </x:is>
      </x:c>
      <x:c r="E5" s="3" t="inlineStr">
        <x:is>
          <x:t xml:space="preserve">Trịnh Mạnh Quang</x:t>
        </x:is>
      </x:c>
      <x:c r="F5" s="3" t="inlineStr">
        <x:is>
          <x:t xml:space="preserve">Lê Đăng Sơn</x:t>
        </x:is>
      </x:c>
      <x:c r="G5" s="3" t="n">
        <x:v>1</x:v>
      </x:c>
      <x:c r="H5" s="3" t="n">
        <x:v>1</x:v>
      </x:c>
      <x:c r="I5" s="3" t="n">
        <x:v>8</x:v>
      </x:c>
      <x:c r="J5" s="3" t="inlineStr">
        <x:is>
          <x:t xml:space="preserve">P0</x:t>
        </x:is>
      </x:c>
      <x:c r="K5" s="3" t="inlineStr">
        <x:is>
          <x:t xml:space="preserve">P01</x:t>
        </x:is>
      </x:c>
      <x:c r="L5" s="3" t="inlineStr">
        <x:is>
          <x:t xml:space="preserve">OpenAPI draft + schema</x:t>
        </x:is>
      </x:c>
      <x:c r="M5" s="3" t="inlineStr">
        <x:is>
          <x:t xml:space="preserve">Không còn endpoint mâu thuẫn; có OAuth flow, request/response/error mẫu</x:t>
        </x:is>
      </x:c>
      <x:c r="N5" s="3" t="str">
        <x:v>Chờ duyệt</x:v>
      </x:c>
      <x:c r="O5" s="8" t="n">
        <x:v>0.9</x:v>
      </x:c>
    </x:row>
    <x:row r="6">
      <x:c r="A6" s="3" t="inlineStr">
        <x:is>
          <x:t xml:space="preserve">P03</x:t>
        </x:is>
      </x:c>
      <x:c r="B6" s="3" t="inlineStr">
        <x:is>
          <x:t xml:space="preserve">Khởi động</x:t>
        </x:is>
      </x:c>
      <x:c r="C6" s="3" t="inlineStr">
        <x:is>
          <x:t xml:space="preserve">AI</x:t>
        </x:is>
      </x:c>
      <x:c r="D6" s="3" t="inlineStr">
        <x:is>
          <x:t xml:space="preserve">Spike lựa chọn AI Provider: Dify hay service riêng; đo khả năng chunk/embed/rerank</x:t>
        </x:is>
      </x:c>
      <x:c r="E6" s="3" t="inlineStr">
        <x:is>
          <x:t xml:space="preserve">Mai Đức Vinh</x:t>
        </x:is>
      </x:c>
      <x:c r="F6" s="3" t="inlineStr">
        <x:is>
          <x:t xml:space="preserve">Trịnh Mạnh Quang</x:t>
        </x:is>
      </x:c>
      <x:c r="G6" s="3" t="n">
        <x:v>1</x:v>
      </x:c>
      <x:c r="H6" s="3" t="n">
        <x:v>1</x:v>
      </x:c>
      <x:c r="I6" s="3" t="n">
        <x:v>8</x:v>
      </x:c>
      <x:c r="J6" s="3" t="inlineStr">
        <x:is>
          <x:t xml:space="preserve">P0</x:t>
        </x:is>
      </x:c>
      <x:c r="K6" s="3" t="inlineStr">
        <x:is>
          <x:t xml:space="preserve">P01</x:t>
        </x:is>
      </x:c>
      <x:c r="L6" s="3" t="inlineStr">
        <x:is>
          <x:t xml:space="preserve">Báo cáo spike + quyết định</x:t>
        </x:is>
      </x:c>
      <x:c r="M6" s="3" t="inlineStr">
        <x:is>
          <x:t xml:space="preserve">Có tiêu chí latency, chi phí/quota, khả năng chạy local</x:t>
        </x:is>
      </x:c>
      <x:c r="N6" s="3" t="inlineStr">
        <x:is>
          <x:t xml:space="preserve">Chưa bắt đầu</x:t>
        </x:is>
      </x:c>
      <x:c r="O6" s="8" t="n">
        <x:v>0</x:v>
      </x:c>
    </x:row>
    <x:row r="7">
      <x:c r="A7" s="3" t="inlineStr">
        <x:is>
          <x:t xml:space="preserve">P04</x:t>
        </x:is>
      </x:c>
      <x:c r="B7" s="3" t="inlineStr">
        <x:is>
          <x:t xml:space="preserve">Khởi động</x:t>
        </x:is>
      </x:c>
      <x:c r="C7" s="3" t="inlineStr">
        <x:is>
          <x:t xml:space="preserve">UX</x:t>
        </x:is>
      </x:c>
      <x:c r="D7" s="3" t="inlineStr">
        <x:is>
          <x:t xml:space="preserve">Vẽ user flow và wireframe cho 5 chức năng trong kịch bản</x:t>
        </x:is>
      </x:c>
      <x:c r="E7" s="3" t="inlineStr">
        <x:is>
          <x:t xml:space="preserve">Trần Thùy Dương</x:t>
        </x:is>
      </x:c>
      <x:c r="F7" s="3" t="inlineStr">
        <x:is>
          <x:t xml:space="preserve">Lê Đăng Sơn</x:t>
        </x:is>
      </x:c>
      <x:c r="G7" s="3" t="n">
        <x:v>1</x:v>
      </x:c>
      <x:c r="H7" s="3" t="n">
        <x:v>1</x:v>
      </x:c>
      <x:c r="I7" s="3" t="n">
        <x:v>8</x:v>
      </x:c>
      <x:c r="J7" s="3" t="inlineStr">
        <x:is>
          <x:t xml:space="preserve">P0</x:t>
        </x:is>
      </x:c>
      <x:c r="K7" s="3" t="inlineStr">
        <x:is>
          <x:t xml:space="preserve">P01</x:t>
        </x:is>
      </x:c>
      <x:c r="L7" s="3" t="inlineStr">
        <x:is>
          <x:t xml:space="preserve">Wireframe + user flow</x:t>
        </x:is>
      </x:c>
      <x:c r="M7" s="3" t="inlineStr">
        <x:is>
          <x:t xml:space="preserve">Bao phủ happy path, loading, empty, error, undo</x:t>
        </x:is>
      </x:c>
      <x:c r="N7" s="3" t="inlineStr">
        <x:is>
          <x:t xml:space="preserve">Chưa bắt đầu</x:t>
        </x:is>
      </x:c>
      <x:c r="O7" s="8" t="n">
        <x:v>0</x:v>
      </x:c>
    </x:row>
    <x:row r="8">
      <x:c r="A8" s="3" t="inlineStr">
        <x:is>
          <x:t xml:space="preserve">P05</x:t>
        </x:is>
      </x:c>
      <x:c r="B8" s="3" t="inlineStr">
        <x:is>
          <x:t xml:space="preserve">Nền tảng</x:t>
        </x:is>
      </x:c>
      <x:c r="C8" s="3" t="inlineStr">
        <x:is>
          <x:t xml:space="preserve">Extension</x:t>
        </x:is>
      </x:c>
      <x:c r="D8" s="3" t="inlineStr">
        <x:is>
          <x:t xml:space="preserve">Khởi tạo TypeScript + Manifest V3, build/lint/test và cấu trúc module</x:t>
        </x:is>
      </x:c>
      <x:c r="E8" s="3" t="inlineStr">
        <x:is>
          <x:t xml:space="preserve">Lê Đăng Sơn</x:t>
        </x:is>
      </x:c>
      <x:c r="F8" s="3" t="inlineStr">
        <x:is>
          <x:t xml:space="preserve">Trần Thùy Dương</x:t>
        </x:is>
      </x:c>
      <x:c r="G8" s="3" t="n">
        <x:v>1</x:v>
      </x:c>
      <x:c r="H8" s="3" t="n">
        <x:v>2</x:v>
      </x:c>
      <x:c r="I8" s="3" t="n">
        <x:v>8</x:v>
      </x:c>
      <x:c r="J8" s="3" t="inlineStr">
        <x:is>
          <x:t xml:space="preserve">P0</x:t>
        </x:is>
      </x:c>
      <x:c r="K8" s="3" t="inlineStr">
        <x:is>
          <x:t xml:space="preserve">P01</x:t>
        </x:is>
      </x:c>
      <x:c r="L8" s="3" t="inlineStr">
        <x:is>
          <x:t xml:space="preserve">Extension skeleton</x:t>
        </x:is>
      </x:c>
      <x:c r="M8" s="3" t="inlineStr">
        <x:is>
          <x:t xml:space="preserve">Cài được ở developer mode; build và lint pass</x:t>
        </x:is>
      </x:c>
      <x:c r="N8" s="3" t="inlineStr">
        <x:is>
          <x:t xml:space="preserve">Chưa bắt đầu</x:t>
        </x:is>
      </x:c>
      <x:c r="O8" s="8" t="n">
        <x:v>0</x:v>
      </x:c>
    </x:row>
    <x:row r="9">
      <x:c r="A9" s="3" t="inlineStr">
        <x:is>
          <x:t xml:space="preserve">P06</x:t>
        </x:is>
      </x:c>
      <x:c r="B9" s="3" t="inlineStr">
        <x:is>
          <x:t xml:space="preserve">Nền tảng</x:t>
        </x:is>
      </x:c>
      <x:c r="C9" s="3" t="inlineStr">
        <x:is>
          <x:t xml:space="preserve">Backend</x:t>
        </x:is>
      </x:c>
      <x:c r="D9" s="3" t="inlineStr">
        <x:is>
          <x:t xml:space="preserve">Khởi tạo Python API, cấu hình môi trường, health check và test framework</x:t>
        </x:is>
      </x:c>
      <x:c r="E9" s="3" t="inlineStr">
        <x:is>
          <x:t xml:space="preserve">Trịnh Mạnh Quang</x:t>
        </x:is>
      </x:c>
      <x:c r="F9" s="3" t="inlineStr">
        <x:is>
          <x:t xml:space="preserve">Mai Đức Vinh</x:t>
        </x:is>
      </x:c>
      <x:c r="G9" s="3" t="n">
        <x:v>1</x:v>
      </x:c>
      <x:c r="H9" s="3" t="n">
        <x:v>2</x:v>
      </x:c>
      <x:c r="I9" s="3" t="n">
        <x:v>8</x:v>
      </x:c>
      <x:c r="J9" s="3" t="inlineStr">
        <x:is>
          <x:t xml:space="preserve">P0</x:t>
        </x:is>
      </x:c>
      <x:c r="K9" s="3" t="inlineStr">
        <x:is>
          <x:t xml:space="preserve">P01</x:t>
        </x:is>
      </x:c>
      <x:c r="L9" s="3" t="inlineStr">
        <x:is>
          <x:t xml:space="preserve">Backend skeleton</x:t>
        </x:is>
      </x:c>
      <x:c r="M9" s="3" t="inlineStr">
        <x:is>
          <x:t xml:space="preserve">Health check chạy; test smoke pass; cấu hình tách dev/test</x:t>
        </x:is>
      </x:c>
      <x:c r="N9" s="3" t="inlineStr">
        <x:is>
          <x:t xml:space="preserve">Chưa bắt đầu</x:t>
        </x:is>
      </x:c>
      <x:c r="O9" s="8" t="n">
        <x:v>0</x:v>
      </x:c>
    </x:row>
    <x:row r="10">
      <x:c r="A10" s="3" t="inlineStr">
        <x:is>
          <x:t xml:space="preserve">P07</x:t>
        </x:is>
      </x:c>
      <x:c r="B10" s="3" t="inlineStr">
        <x:is>
          <x:t xml:space="preserve">Nền tảng</x:t>
        </x:is>
      </x:c>
      <x:c r="C10" s="3" t="inlineStr">
        <x:is>
          <x:t xml:space="preserve">AI</x:t>
        </x:is>
      </x:c>
      <x:c r="D10" s="3" t="inlineStr">
        <x:is>
          <x:t xml:space="preserve">Khởi tạo AI service/adapter cho local provider và mock provider</x:t>
        </x:is>
      </x:c>
      <x:c r="E10" s="3" t="inlineStr">
        <x:is>
          <x:t xml:space="preserve">Mai Đức Vinh</x:t>
        </x:is>
      </x:c>
      <x:c r="F10" s="3" t="inlineStr">
        <x:is>
          <x:t xml:space="preserve">Trịnh Mạnh Quang</x:t>
        </x:is>
      </x:c>
      <x:c r="G10" s="3" t="n">
        <x:v>1</x:v>
      </x:c>
      <x:c r="H10" s="3" t="n">
        <x:v>2</x:v>
      </x:c>
      <x:c r="I10" s="3" t="n">
        <x:v>8</x:v>
      </x:c>
      <x:c r="J10" s="3" t="inlineStr">
        <x:is>
          <x:t xml:space="preserve">P0</x:t>
        </x:is>
      </x:c>
      <x:c r="K10" s="3" t="inlineStr">
        <x:is>
          <x:t xml:space="preserve">P03,P06</x:t>
        </x:is>
      </x:c>
      <x:c r="L10" s="3" t="inlineStr">
        <x:is>
          <x:t xml:space="preserve">AI adapter skeleton</x:t>
        </x:is>
      </x:c>
      <x:c r="M10" s="3" t="inlineStr">
        <x:is>
          <x:t xml:space="preserve">Đổi provider qua config; có mock deterministic cho test</x:t>
        </x:is>
      </x:c>
      <x:c r="N10" s="3" t="inlineStr">
        <x:is>
          <x:t xml:space="preserve">Chưa bắt đầu</x:t>
        </x:is>
      </x:c>
      <x:c r="O10" s="8" t="n">
        <x:v>0</x:v>
      </x:c>
    </x:row>
    <x:row r="11">
      <x:c r="A11" s="3" t="inlineStr">
        <x:is>
          <x:t xml:space="preserve">P08</x:t>
        </x:is>
      </x:c>
      <x:c r="B11" s="3" t="inlineStr">
        <x:is>
          <x:t xml:space="preserve">Nền tảng</x:t>
        </x:is>
      </x:c>
      <x:c r="C11" s="3" t="inlineStr">
        <x:is>
          <x:t xml:space="preserve">QA</x:t>
        </x:is>
      </x:c>
      <x:c r="D11" s="3" t="inlineStr">
        <x:is>
          <x:t xml:space="preserve">Lập test strategy, traceability matrix từ kịch bản và Definition of Done</x:t>
        </x:is>
      </x:c>
      <x:c r="E11" s="3" t="inlineStr">
        <x:is>
          <x:t xml:space="preserve">Trần Thùy Dương</x:t>
        </x:is>
      </x:c>
      <x:c r="F11" s="3" t="inlineStr">
        <x:is>
          <x:t xml:space="preserve">Lê Đăng Sơn</x:t>
        </x:is>
      </x:c>
      <x:c r="G11" s="3" t="n">
        <x:v>1</x:v>
      </x:c>
      <x:c r="H11" s="3" t="n">
        <x:v>2</x:v>
      </x:c>
      <x:c r="I11" s="3" t="n">
        <x:v>6</x:v>
      </x:c>
      <x:c r="J11" s="3" t="inlineStr">
        <x:is>
          <x:t xml:space="preserve">P0</x:t>
        </x:is>
      </x:c>
      <x:c r="K11" s="3" t="inlineStr">
        <x:is>
          <x:t xml:space="preserve">P04</x:t>
        </x:is>
      </x:c>
      <x:c r="L11" s="3" t="inlineStr">
        <x:is>
          <x:t xml:space="preserve">Test plan + RTM</x:t>
        </x:is>
      </x:c>
      <x:c r="M11" s="3" t="inlineStr">
        <x:is>
          <x:t xml:space="preserve">Mỗi nhánh chính có test case và người chịu trách nhiệm</x:t>
        </x:is>
      </x:c>
      <x:c r="N11" s="3" t="inlineStr">
        <x:is>
          <x:t xml:space="preserve">Chưa bắt đầu</x:t>
        </x:is>
      </x:c>
      <x:c r="O11" s="8" t="n">
        <x:v>0</x:v>
      </x:c>
    </x:row>
    <x:row r="12">
      <x:c r="A12" s="3" t="inlineStr">
        <x:is>
          <x:t xml:space="preserve">A01</x:t>
        </x:is>
      </x:c>
      <x:c r="B12" s="3" t="inlineStr">
        <x:is>
          <x:t xml:space="preserve">Nền tảng</x:t>
        </x:is>
      </x:c>
      <x:c r="C12" s="3" t="inlineStr">
        <x:is>
          <x:t xml:space="preserve">Tài khoản</x:t>
        </x:is>
      </x:c>
      <x:c r="D12" s="3" t="inlineStr">
        <x:is>
          <x:t xml:space="preserve">Thiết kế schema user/note/chunk/category/quota và migration</x:t>
        </x:is>
      </x:c>
      <x:c r="E12" s="3" t="inlineStr">
        <x:is>
          <x:t xml:space="preserve">Trịnh Mạnh Quang</x:t>
        </x:is>
      </x:c>
      <x:c r="F12" s="3" t="inlineStr">
        <x:is>
          <x:t xml:space="preserve">Mai Đức Vinh</x:t>
        </x:is>
      </x:c>
      <x:c r="G12" s="3" t="n">
        <x:v>2</x:v>
      </x:c>
      <x:c r="H12" s="3" t="n">
        <x:v>2</x:v>
      </x:c>
      <x:c r="I12" s="3" t="n">
        <x:v>8</x:v>
      </x:c>
      <x:c r="J12" s="3" t="inlineStr">
        <x:is>
          <x:t xml:space="preserve">P0</x:t>
        </x:is>
      </x:c>
      <x:c r="K12" s="3" t="inlineStr">
        <x:is>
          <x:t xml:space="preserve">P02,P06</x:t>
        </x:is>
      </x:c>
      <x:c r="L12" s="3" t="inlineStr">
        <x:is>
          <x:t xml:space="preserve">Migration + ERD</x:t>
        </x:is>
      </x:c>
      <x:c r="M12" s="3" t="inlineStr">
        <x:is>
          <x:t xml:space="preserve">Có UUID, ownership, timestamp, index và ràng buộc dữ liệu</x:t>
        </x:is>
      </x:c>
      <x:c r="N12" s="3" t="inlineStr">
        <x:is>
          <x:t xml:space="preserve">Chưa bắt đầu</x:t>
        </x:is>
      </x:c>
      <x:c r="O12" s="8" t="n">
        <x:v>0</x:v>
      </x:c>
    </x:row>
    <x:row r="13">
      <x:c r="A13" s="3" t="inlineStr">
        <x:is>
          <x:t xml:space="preserve">A02</x:t>
        </x:is>
      </x:c>
      <x:c r="B13" s="3" t="inlineStr">
        <x:is>
          <x:t xml:space="preserve">Nền tảng</x:t>
        </x:is>
      </x:c>
      <x:c r="C13" s="3" t="inlineStr">
        <x:is>
          <x:t xml:space="preserve">Tài khoản</x:t>
        </x:is>
      </x:c>
      <x:c r="D13" s="3" t="inlineStr">
        <x:is>
          <x:t xml:space="preserve">Xây Google OAuth 2.0 Authorization Code + PKCE: callback, verify ID token và phát hành app session</x:t>
        </x:is>
      </x:c>
      <x:c r="E13" s="3" t="inlineStr">
        <x:is>
          <x:t xml:space="preserve">Trịnh Mạnh Quang</x:t>
        </x:is>
      </x:c>
      <x:c r="F13" s="3" t="inlineStr">
        <x:is>
          <x:t xml:space="preserve">Lê Đăng Sơn</x:t>
        </x:is>
      </x:c>
      <x:c r="G13" s="3" t="n">
        <x:v>2</x:v>
      </x:c>
      <x:c r="H13" s="3" t="n">
        <x:v>3</x:v>
      </x:c>
      <x:c r="I13" s="3" t="n">
        <x:v>10</x:v>
      </x:c>
      <x:c r="J13" s="3" t="inlineStr">
        <x:is>
          <x:t xml:space="preserve">P0</x:t>
        </x:is>
      </x:c>
      <x:c r="K13" s="3" t="inlineStr">
        <x:is>
          <x:t xml:space="preserve">A01</x:t>
        </x:is>
      </x:c>
      <x:c r="L13" s="3" t="inlineStr">
        <x:is>
          <x:t xml:space="preserve">Google OAuth API</x:t>
        </x:is>
      </x:c>
      <x:c r="M13" s="3" t="inlineStr">
        <x:is>
          <x:t xml:space="preserve">Chỉ dùng scope openid/email/profile; validate state, nonce, issuer, audience và expiry</x:t>
        </x:is>
      </x:c>
      <x:c r="N13" s="3" t="inlineStr">
        <x:is>
          <x:t xml:space="preserve">Chưa bắt đầu</x:t>
        </x:is>
      </x:c>
      <x:c r="O13" s="8" t="n">
        <x:v>0</x:v>
      </x:c>
    </x:row>
    <x:row r="14">
      <x:c r="A14" s="3" t="inlineStr">
        <x:is>
          <x:t xml:space="preserve">A03</x:t>
        </x:is>
      </x:c>
      <x:c r="B14" s="3" t="inlineStr">
        <x:is>
          <x:t xml:space="preserve">Nền tảng</x:t>
        </x:is>
      </x:c>
      <x:c r="C14" s="3" t="inlineStr">
        <x:is>
          <x:t xml:space="preserve">Tài khoản</x:t>
        </x:is>
      </x:c>
      <x:c r="D14" s="3" t="inlineStr">
        <x:is>
          <x:t xml:space="preserve">Tích hợp Google OAuth trong extension qua browser identity flow/PKCE và quản lý app session</x:t>
        </x:is>
      </x:c>
      <x:c r="E14" s="3" t="inlineStr">
        <x:is>
          <x:t xml:space="preserve">Lê Đăng Sơn</x:t>
        </x:is>
      </x:c>
      <x:c r="F14" s="3" t="inlineStr">
        <x:is>
          <x:t xml:space="preserve">Trịnh Mạnh Quang</x:t>
        </x:is>
      </x:c>
      <x:c r="G14" s="3" t="n">
        <x:v>2</x:v>
      </x:c>
      <x:c r="H14" s="3" t="n">
        <x:v>3</x:v>
      </x:c>
      <x:c r="I14" s="3" t="n">
        <x:v>8</x:v>
      </x:c>
      <x:c r="J14" s="3" t="inlineStr">
        <x:is>
          <x:t xml:space="preserve">P0</x:t>
        </x:is>
      </x:c>
      <x:c r="K14" s="3" t="inlineStr">
        <x:is>
          <x:t xml:space="preserve">A02,P05</x:t>
        </x:is>
      </x:c>
      <x:c r="L14" s="3" t="inlineStr">
        <x:is>
          <x:t xml:space="preserve">Google OAuth UI + client</x:t>
        </x:is>
      </x:c>
      <x:c r="M14" s="3" t="inlineStr">
        <x:is>
          <x:t xml:space="preserve">Login/logout hoạt động; không log token; xử lý session hết hạn; không có form mật khẩu</x:t>
        </x:is>
      </x:c>
      <x:c r="N14" s="3" t="inlineStr">
        <x:is>
          <x:t xml:space="preserve">Chưa bắt đầu</x:t>
        </x:is>
      </x:c>
      <x:c r="O14" s="8" t="n">
        <x:v>0</x:v>
      </x:c>
    </x:row>
    <x:row r="15">
      <x:c r="A15" s="3" t="inlineStr">
        <x:is>
          <x:t xml:space="preserve">A04</x:t>
        </x:is>
      </x:c>
      <x:c r="B15" s="3" t="inlineStr">
        <x:is>
          <x:t xml:space="preserve">Nền tảng</x:t>
        </x:is>
      </x:c>
      <x:c r="C15" s="3" t="inlineStr">
        <x:is>
          <x:t xml:space="preserve">Quota</x:t>
        </x:is>
      </x:c>
      <x:c r="D15" s="3" t="inlineStr">
        <x:is>
          <x:t xml:space="preserve">Xây dựng quota middleware và nhật ký tiêu hao AI</x:t>
        </x:is>
      </x:c>
      <x:c r="E15" s="3" t="inlineStr">
        <x:is>
          <x:t xml:space="preserve">Trịnh Mạnh Quang</x:t>
        </x:is>
      </x:c>
      <x:c r="F15" s="3" t="inlineStr">
        <x:is>
          <x:t xml:space="preserve">Mai Đức Vinh</x:t>
        </x:is>
      </x:c>
      <x:c r="G15" s="3" t="n">
        <x:v>3</x:v>
      </x:c>
      <x:c r="H15" s="3" t="n">
        <x:v>3</x:v>
      </x:c>
      <x:c r="I15" s="3" t="n">
        <x:v>8</x:v>
      </x:c>
      <x:c r="J15" s="3" t="inlineStr">
        <x:is>
          <x:t xml:space="preserve">P0</x:t>
        </x:is>
      </x:c>
      <x:c r="K15" s="3" t="inlineStr">
        <x:is>
          <x:t xml:space="preserve">A01,A02</x:t>
        </x:is>
      </x:c>
      <x:c r="L15" s="3" t="inlineStr">
        <x:is>
          <x:t xml:space="preserve">Quota service</x:t>
        </x:is>
      </x:c>
      <x:c r="M15" s="3" t="inlineStr">
        <x:is>
          <x:t xml:space="preserve">Chặn đúng khi hết quota; cập nhật nguyên tử; có audit</x:t>
        </x:is>
      </x:c>
      <x:c r="N15" s="3" t="inlineStr">
        <x:is>
          <x:t xml:space="preserve">Chưa bắt đầu</x:t>
        </x:is>
      </x:c>
      <x:c r="O15" s="8" t="n">
        <x:v>0</x:v>
      </x:c>
    </x:row>
    <x:row r="16">
      <x:c r="A16" s="3" t="inlineStr">
        <x:is>
          <x:t xml:space="preserve">A05</x:t>
        </x:is>
      </x:c>
      <x:c r="B16" s="3" t="inlineStr">
        <x:is>
          <x:t xml:space="preserve">Nền tảng</x:t>
        </x:is>
      </x:c>
      <x:c r="C16" s="3" t="inlineStr">
        <x:is>
          <x:t xml:space="preserve">UI</x:t>
        </x:is>
      </x:c>
      <x:c r="D16" s="3" t="inlineStr">
        <x:is>
          <x:t xml:space="preserve">Xây design system và app shell: loading/empty/error/toast/modal</x:t>
        </x:is>
      </x:c>
      <x:c r="E16" s="3" t="inlineStr">
        <x:is>
          <x:t xml:space="preserve">Trần Thùy Dương</x:t>
        </x:is>
      </x:c>
      <x:c r="F16" s="3" t="inlineStr">
        <x:is>
          <x:t xml:space="preserve">Lê Đăng Sơn</x:t>
        </x:is>
      </x:c>
      <x:c r="G16" s="3" t="n">
        <x:v>2</x:v>
      </x:c>
      <x:c r="H16" s="3" t="n">
        <x:v>3</x:v>
      </x:c>
      <x:c r="I16" s="3" t="n">
        <x:v>8</x:v>
      </x:c>
      <x:c r="J16" s="3" t="inlineStr">
        <x:is>
          <x:t xml:space="preserve">P0</x:t>
        </x:is>
      </x:c>
      <x:c r="K16" s="3" t="inlineStr">
        <x:is>
          <x:t xml:space="preserve">P04,P05</x:t>
        </x:is>
      </x:c>
      <x:c r="L16" s="3" t="inlineStr">
        <x:is>
          <x:t xml:space="preserve">UI component set</x:t>
        </x:is>
      </x:c>
      <x:c r="M16" s="3" t="inlineStr">
        <x:is>
          <x:t xml:space="preserve">Các màn hình dùng chung component; keyboard usable</x:t>
        </x:is>
      </x:c>
      <x:c r="N16" s="3" t="inlineStr">
        <x:is>
          <x:t xml:space="preserve">Chưa bắt đầu</x:t>
        </x:is>
      </x:c>
      <x:c r="O16" s="8" t="n">
        <x:v>0</x:v>
      </x:c>
    </x:row>
    <x:row r="17">
      <x:c r="A17" s="3" t="inlineStr">
        <x:is>
          <x:t xml:space="preserve">N01</x:t>
        </x:is>
      </x:c>
      <x:c r="B17" s="3" t="inlineStr">
        <x:is>
          <x:t xml:space="preserve">MVP Ghi chú</x:t>
        </x:is>
      </x:c>
      <x:c r="C17" s="3" t="inlineStr">
        <x:is>
          <x:t xml:space="preserve">Extension</x:t>
        </x:is>
      </x:c>
      <x:c r="D17" s="3" t="inlineStr">
        <x:is>
          <x:t xml:space="preserve">Bắt selection, context menu và phím Ctrl-Alt-N</x:t>
        </x:is>
      </x:c>
      <x:c r="E17" s="3" t="inlineStr">
        <x:is>
          <x:t xml:space="preserve">Lê Đăng Sơn</x:t>
        </x:is>
      </x:c>
      <x:c r="F17" s="3" t="inlineStr">
        <x:is>
          <x:t xml:space="preserve">Trần Thùy Dương</x:t>
        </x:is>
      </x:c>
      <x:c r="G17" s="3" t="n">
        <x:v>3</x:v>
      </x:c>
      <x:c r="H17" s="3" t="n">
        <x:v>3</x:v>
      </x:c>
      <x:c r="I17" s="3" t="n">
        <x:v>8</x:v>
      </x:c>
      <x:c r="J17" s="3" t="inlineStr">
        <x:is>
          <x:t xml:space="preserve">P0</x:t>
        </x:is>
      </x:c>
      <x:c r="K17" s="3" t="inlineStr">
        <x:is>
          <x:t xml:space="preserve">P05</x:t>
        </x:is>
      </x:c>
      <x:c r="L17" s="3" t="inlineStr">
        <x:is>
          <x:t xml:space="preserve">Selection capture</x:t>
        </x:is>
      </x:c>
      <x:c r="M17" s="3" t="inlineStr">
        <x:is>
          <x:t xml:space="preserve">Lấy text + URL + title; hoạt động trên 3 trang mẫu</x:t>
        </x:is>
      </x:c>
      <x:c r="N17" s="3" t="inlineStr">
        <x:is>
          <x:t xml:space="preserve">Chưa bắt đầu</x:t>
        </x:is>
      </x:c>
      <x:c r="O17" s="8" t="n">
        <x:v>0</x:v>
      </x:c>
    </x:row>
    <x:row r="18">
      <x:c r="A18" s="3" t="inlineStr">
        <x:is>
          <x:t xml:space="preserve">N02</x:t>
        </x:is>
      </x:c>
      <x:c r="B18" s="3" t="inlineStr">
        <x:is>
          <x:t xml:space="preserve">MVP Ghi chú</x:t>
        </x:is>
      </x:c>
      <x:c r="C18" s="3" t="inlineStr">
        <x:is>
          <x:t xml:space="preserve">UI</x:t>
        </x:is>
      </x:c>
      <x:c r="D18" s="3" t="inlineStr">
        <x:is>
          <x:t xml:space="preserve">Popup snippet, đếm ngược 5 giây và hoàn tác Ctrl-Alt-Z</x:t>
        </x:is>
      </x:c>
      <x:c r="E18" s="3" t="inlineStr">
        <x:is>
          <x:t xml:space="preserve">Trần Thùy Dương</x:t>
        </x:is>
      </x:c>
      <x:c r="F18" s="3" t="inlineStr">
        <x:is>
          <x:t xml:space="preserve">Lê Đăng Sơn</x:t>
        </x:is>
      </x:c>
      <x:c r="G18" s="3" t="n">
        <x:v>3</x:v>
      </x:c>
      <x:c r="H18" s="3" t="n">
        <x:v>4</x:v>
      </x:c>
      <x:c r="I18" s="3" t="n">
        <x:v>8</x:v>
      </x:c>
      <x:c r="J18" s="3" t="inlineStr">
        <x:is>
          <x:t xml:space="preserve">P0</x:t>
        </x:is>
      </x:c>
      <x:c r="K18" s="3" t="inlineStr">
        <x:is>
          <x:t xml:space="preserve">A05,N01</x:t>
        </x:is>
      </x:c>
      <x:c r="L18" s="3" t="inlineStr">
        <x:is>
          <x:t xml:space="preserve">Undo popup</x:t>
        </x:is>
      </x:c>
      <x:c r="M18" s="3" t="inlineStr">
        <x:is>
          <x:t xml:space="preserve">Undo hủy note mới nhất; trạng thái hiển thị rõ</x:t>
        </x:is>
      </x:c>
      <x:c r="N18" s="3" t="inlineStr">
        <x:is>
          <x:t xml:space="preserve">Chưa bắt đầu</x:t>
        </x:is>
      </x:c>
      <x:c r="O18" s="8" t="n">
        <x:v>0</x:v>
      </x:c>
    </x:row>
    <x:row r="19">
      <x:c r="A19" s="3" t="inlineStr">
        <x:is>
          <x:t xml:space="preserve">N03</x:t>
        </x:is>
      </x:c>
      <x:c r="B19" s="3" t="inlineStr">
        <x:is>
          <x:t xml:space="preserve">MVP Ghi chú</x:t>
        </x:is>
      </x:c>
      <x:c r="C19" s="3" t="inlineStr">
        <x:is>
          <x:t xml:space="preserve">Backend</x:t>
        </x:is>
      </x:c>
      <x:c r="D19" s="3" t="inlineStr">
        <x:is>
          <x:t xml:space="preserve">Cài API tạo note nhanh, xác thực ownership và lưu PostgreSQL</x:t>
        </x:is>
      </x:c>
      <x:c r="E19" s="3" t="inlineStr">
        <x:is>
          <x:t xml:space="preserve">Trịnh Mạnh Quang</x:t>
        </x:is>
      </x:c>
      <x:c r="F19" s="3" t="inlineStr">
        <x:is>
          <x:t xml:space="preserve">Lê Đăng Sơn</x:t>
        </x:is>
      </x:c>
      <x:c r="G19" s="3" t="n">
        <x:v>3</x:v>
      </x:c>
      <x:c r="H19" s="3" t="n">
        <x:v>4</x:v>
      </x:c>
      <x:c r="I19" s="3" t="n">
        <x:v>10</x:v>
      </x:c>
      <x:c r="J19" s="3" t="inlineStr">
        <x:is>
          <x:t xml:space="preserve">P0</x:t>
        </x:is>
      </x:c>
      <x:c r="K19" s="3" t="inlineStr">
        <x:is>
          <x:t xml:space="preserve">A01,A02,P02</x:t>
        </x:is>
      </x:c>
      <x:c r="L19" s="3" t="inlineStr">
        <x:is>
          <x:t xml:space="preserve">POST note API</x:t>
        </x:is>
      </x:c>
      <x:c r="M19" s="3" t="inlineStr">
        <x:is>
          <x:t xml:space="preserve">Validation/idempotency/error contract và integration test pass</x:t>
        </x:is>
      </x:c>
      <x:c r="N19" s="3" t="inlineStr">
        <x:is>
          <x:t xml:space="preserve">Chưa bắt đầu</x:t>
        </x:is>
      </x:c>
      <x:c r="O19" s="8" t="n">
        <x:v>0</x:v>
      </x:c>
    </x:row>
    <x:row r="20">
      <x:c r="A20" s="3" t="inlineStr">
        <x:is>
          <x:t xml:space="preserve">N04</x:t>
        </x:is>
      </x:c>
      <x:c r="B20" s="3" t="inlineStr">
        <x:is>
          <x:t xml:space="preserve">MVP Ghi chú</x:t>
        </x:is>
      </x:c>
      <x:c r="C20" s="3" t="inlineStr">
        <x:is>
          <x:t xml:space="preserve">AI</x:t>
        </x:is>
      </x:c>
      <x:c r="D20" s="3" t="inlineStr">
        <x:is>
          <x:t xml:space="preserve">Cài semantic chunking + embedding, định danh chunk UUID</x:t>
        </x:is>
      </x:c>
      <x:c r="E20" s="3" t="inlineStr">
        <x:is>
          <x:t xml:space="preserve">Mai Đức Vinh</x:t>
        </x:is>
      </x:c>
      <x:c r="F20" s="3" t="inlineStr">
        <x:is>
          <x:t xml:space="preserve">Trịnh Mạnh Quang</x:t>
        </x:is>
      </x:c>
      <x:c r="G20" s="3" t="n">
        <x:v>3</x:v>
      </x:c>
      <x:c r="H20" s="3" t="n">
        <x:v>4</x:v>
      </x:c>
      <x:c r="I20" s="3" t="n">
        <x:v>10</x:v>
      </x:c>
      <x:c r="J20" s="3" t="inlineStr">
        <x:is>
          <x:t xml:space="preserve">P0</x:t>
        </x:is>
      </x:c>
      <x:c r="K20" s="3" t="inlineStr">
        <x:is>
          <x:t xml:space="preserve">P07</x:t>
        </x:is>
      </x:c>
      <x:c r="L20" s="3" t="inlineStr">
        <x:is>
          <x:t xml:space="preserve">Chunk/embed pipeline</x:t>
        </x:is>
      </x:c>
      <x:c r="M20" s="3" t="inlineStr">
        <x:is>
          <x:t xml:space="preserve">Giữ liên kết note–chunk; xử lý text dài và lỗi provider</x:t>
        </x:is>
      </x:c>
      <x:c r="N20" s="3" t="inlineStr">
        <x:is>
          <x:t xml:space="preserve">Chưa bắt đầu</x:t>
        </x:is>
      </x:c>
      <x:c r="O20" s="8" t="n">
        <x:v>0</x:v>
      </x:c>
    </x:row>
    <x:row r="21">
      <x:c r="A21" s="3" t="inlineStr">
        <x:is>
          <x:t xml:space="preserve">N05</x:t>
        </x:is>
      </x:c>
      <x:c r="B21" s="3" t="inlineStr">
        <x:is>
          <x:t xml:space="preserve">MVP Ghi chú</x:t>
        </x:is>
      </x:c>
      <x:c r="C21" s="3" t="inlineStr">
        <x:is>
          <x:t xml:space="preserve">AI/Backend</x:t>
        </x:is>
      </x:c>
      <x:c r="D21" s="3" t="inlineStr">
        <x:is>
          <x:t xml:space="preserve">Lưu vector pgvector và cập nhật quota sau xử lý</x:t>
        </x:is>
      </x:c>
      <x:c r="E21" s="3" t="inlineStr">
        <x:is>
          <x:t xml:space="preserve">Mai Đức Vinh</x:t>
        </x:is>
      </x:c>
      <x:c r="F21" s="3" t="inlineStr">
        <x:is>
          <x:t xml:space="preserve">Trịnh Mạnh Quang</x:t>
        </x:is>
      </x:c>
      <x:c r="G21" s="3" t="n">
        <x:v>4</x:v>
      </x:c>
      <x:c r="H21" s="3" t="n">
        <x:v>4</x:v>
      </x:c>
      <x:c r="I21" s="3" t="n">
        <x:v>8</x:v>
      </x:c>
      <x:c r="J21" s="3" t="inlineStr">
        <x:is>
          <x:t xml:space="preserve">P0</x:t>
        </x:is>
      </x:c>
      <x:c r="K21" s="3" t="inlineStr">
        <x:is>
          <x:t xml:space="preserve">N03,N04,A04</x:t>
        </x:is>
      </x:c>
      <x:c r="L21" s="3" t="inlineStr">
        <x:is>
          <x:t xml:space="preserve">Vector persistence</x:t>
        </x:is>
      </x:c>
      <x:c r="M21" s="3" t="inlineStr">
        <x:is>
          <x:t xml:space="preserve">Transaction nhất quán; không trừ quota khi silent skip</x:t>
        </x:is>
      </x:c>
      <x:c r="N21" s="3" t="inlineStr">
        <x:is>
          <x:t xml:space="preserve">Chưa bắt đầu</x:t>
        </x:is>
      </x:c>
      <x:c r="O21" s="8" t="n">
        <x:v>0</x:v>
      </x:c>
    </x:row>
    <x:row r="22">
      <x:c r="A22" s="3" t="inlineStr">
        <x:is>
          <x:t xml:space="preserve">N06</x:t>
        </x:is>
      </x:c>
      <x:c r="B22" s="3" t="inlineStr">
        <x:is>
          <x:t xml:space="preserve">MVP Ghi chú</x:t>
        </x:is>
      </x:c>
      <x:c r="C22" s="3" t="inlineStr">
        <x:is>
          <x:t xml:space="preserve">Extension</x:t>
        </x:is>
      </x:c>
      <x:c r="D22" s="3" t="inlineStr">
        <x:is>
          <x:t xml:space="preserve">Local state cho hàng chờ, retry và trạng thái note</x:t>
        </x:is>
      </x:c>
      <x:c r="E22" s="3" t="inlineStr">
        <x:is>
          <x:t xml:space="preserve">Lê Đăng Sơn</x:t>
        </x:is>
      </x:c>
      <x:c r="F22" s="3" t="inlineStr">
        <x:is>
          <x:t xml:space="preserve">Trịnh Mạnh Quang</x:t>
        </x:is>
      </x:c>
      <x:c r="G22" s="3" t="n">
        <x:v>4</x:v>
      </x:c>
      <x:c r="H22" s="3" t="n">
        <x:v>4</x:v>
      </x:c>
      <x:c r="I22" s="3" t="n">
        <x:v>8</x:v>
      </x:c>
      <x:c r="J22" s="3" t="inlineStr">
        <x:is>
          <x:t xml:space="preserve">P0</x:t>
        </x:is>
      </x:c>
      <x:c r="K22" s="3" t="inlineStr">
        <x:is>
          <x:t xml:space="preserve">N02,N03</x:t>
        </x:is>
      </x:c>
      <x:c r="L22" s="3" t="inlineStr">
        <x:is>
          <x:t xml:space="preserve">Queue/state store</x:t>
        </x:is>
      </x:c>
      <x:c r="M22" s="3" t="inlineStr">
        <x:is>
          <x:t xml:space="preserve">Không tạo note trùng khi retry; hiển thị pending/success/error</x:t>
        </x:is>
      </x:c>
      <x:c r="N22" s="3" t="inlineStr">
        <x:is>
          <x:t xml:space="preserve">Chưa bắt đầu</x:t>
        </x:is>
      </x:c>
      <x:c r="O22" s="8" t="n">
        <x:v>0</x:v>
      </x:c>
    </x:row>
    <x:row r="23">
      <x:c r="A23" s="3" t="inlineStr">
        <x:is>
          <x:t xml:space="preserve">N07</x:t>
        </x:is>
      </x:c>
      <x:c r="B23" s="3" t="inlineStr">
        <x:is>
          <x:t xml:space="preserve">MVP Ghi chú</x:t>
        </x:is>
      </x:c>
      <x:c r="C23" s="3" t="inlineStr">
        <x:is>
          <x:t xml:space="preserve">QA</x:t>
        </x:is>
      </x:c>
      <x:c r="D23" s="3" t="inlineStr">
        <x:is>
          <x:t xml:space="preserve">Kiểm thử E2E ghi chú nhanh, undo, hết quota và mất mạng</x:t>
        </x:is>
      </x:c>
      <x:c r="E23" s="3" t="inlineStr">
        <x:is>
          <x:t xml:space="preserve">Trần Thùy Dương</x:t>
        </x:is>
      </x:c>
      <x:c r="F23" s="3" t="inlineStr">
        <x:is>
          <x:t xml:space="preserve">Lê Đăng Sơn</x:t>
        </x:is>
      </x:c>
      <x:c r="G23" s="3" t="n">
        <x:v>4</x:v>
      </x:c>
      <x:c r="H23" s="3" t="n">
        <x:v>4</x:v>
      </x:c>
      <x:c r="I23" s="3" t="n">
        <x:v>6</x:v>
      </x:c>
      <x:c r="J23" s="3" t="inlineStr">
        <x:is>
          <x:t xml:space="preserve">P0</x:t>
        </x:is>
      </x:c>
      <x:c r="K23" s="3" t="inlineStr">
        <x:is>
          <x:t xml:space="preserve">N02,N03,N04,N05,N06</x:t>
        </x:is>
      </x:c>
      <x:c r="L23" s="3" t="inlineStr">
        <x:is>
          <x:t xml:space="preserve">E2E suite + biên bản</x:t>
        </x:is>
      </x:c>
      <x:c r="M23" s="3" t="inlineStr">
        <x:is>
          <x:t xml:space="preserve">Các ca P0 pass; lỗi có bằng chứng và owner</x:t>
        </x:is>
      </x:c>
      <x:c r="N23" s="3" t="inlineStr">
        <x:is>
          <x:t xml:space="preserve">Chưa bắt đầu</x:t>
        </x:is>
      </x:c>
      <x:c r="O23" s="8" t="n">
        <x:v>0</x:v>
      </x:c>
    </x:row>
    <x:row r="24">
      <x:c r="A24" s="3" t="inlineStr">
        <x:is>
          <x:t xml:space="preserve">C01</x:t>
        </x:is>
      </x:c>
      <x:c r="B24" s="3" t="inlineStr">
        <x:is>
          <x:t xml:space="preserve">Thư viện note</x:t>
        </x:is>
      </x:c>
      <x:c r="C24" s="3" t="inlineStr">
        <x:is>
          <x:t xml:space="preserve">Backend</x:t>
        </x:is>
      </x:c>
      <x:c r="D24" s="3" t="inlineStr">
        <x:is>
          <x:t xml:space="preserve">API GET/PUT/DELETE note, filter metadata/category và bulk delete</x:t>
        </x:is>
      </x:c>
      <x:c r="E24" s="3" t="inlineStr">
        <x:is>
          <x:t xml:space="preserve">Trịnh Mạnh Quang</x:t>
        </x:is>
      </x:c>
      <x:c r="F24" s="3" t="inlineStr">
        <x:is>
          <x:t xml:space="preserve">Lê Đăng Sơn</x:t>
        </x:is>
      </x:c>
      <x:c r="G24" s="3" t="n">
        <x:v>4</x:v>
      </x:c>
      <x:c r="H24" s="3" t="n">
        <x:v>5</x:v>
      </x:c>
      <x:c r="I24" s="3" t="n">
        <x:v>10</x:v>
      </x:c>
      <x:c r="J24" s="3" t="inlineStr">
        <x:is>
          <x:t xml:space="preserve">P0</x:t>
        </x:is>
      </x:c>
      <x:c r="K24" s="3" t="inlineStr">
        <x:is>
          <x:t xml:space="preserve">N03</x:t>
        </x:is>
      </x:c>
      <x:c r="L24" s="3" t="inlineStr">
        <x:is>
          <x:t xml:space="preserve">CRUD API</x:t>
        </x:is>
      </x:c>
      <x:c r="M24" s="3" t="inlineStr">
        <x:is>
          <x:t xml:space="preserve">Ownership bắt buộc; filter/pagination; bulk delete an toàn</x:t>
        </x:is>
      </x:c>
      <x:c r="N24" s="3" t="inlineStr">
        <x:is>
          <x:t xml:space="preserve">Chưa bắt đầu</x:t>
        </x:is>
      </x:c>
      <x:c r="O24" s="8" t="n">
        <x:v>0</x:v>
      </x:c>
    </x:row>
    <x:row r="25">
      <x:c r="A25" s="3" t="inlineStr">
        <x:is>
          <x:t xml:space="preserve">C02</x:t>
        </x:is>
      </x:c>
      <x:c r="B25" s="3" t="inlineStr">
        <x:is>
          <x:t xml:space="preserve">Thư viện note</x:t>
        </x:is>
      </x:c>
      <x:c r="C25" s="3" t="inlineStr">
        <x:is>
          <x:t xml:space="preserve">Extension</x:t>
        </x:is>
      </x:c>
      <x:c r="D25" s="3" t="inlineStr">
        <x:is>
          <x:t xml:space="preserve">IndexedDB cache/offline storage và chiến lược sync</x:t>
        </x:is>
      </x:c>
      <x:c r="E25" s="3" t="inlineStr">
        <x:is>
          <x:t xml:space="preserve">Lê Đăng Sơn</x:t>
        </x:is>
      </x:c>
      <x:c r="F25" s="3" t="inlineStr">
        <x:is>
          <x:t xml:space="preserve">Trịnh Mạnh Quang</x:t>
        </x:is>
      </x:c>
      <x:c r="G25" s="3" t="n">
        <x:v>4</x:v>
      </x:c>
      <x:c r="H25" s="3" t="n">
        <x:v>5</x:v>
      </x:c>
      <x:c r="I25" s="3" t="n">
        <x:v>10</x:v>
      </x:c>
      <x:c r="J25" s="3" t="inlineStr">
        <x:is>
          <x:t xml:space="preserve">P0</x:t>
        </x:is>
      </x:c>
      <x:c r="K25" s="3" t="inlineStr">
        <x:is>
          <x:t xml:space="preserve">N06,C01</x:t>
        </x:is>
      </x:c>
      <x:c r="L25" s="3" t="inlineStr">
        <x:is>
          <x:t xml:space="preserve">Cache/sync module</x:t>
        </x:is>
      </x:c>
      <x:c r="M25" s="3" t="inlineStr">
        <x:is>
          <x:t xml:space="preserve">Cache-first; sync theo updatedAt; có quy tắc xử lý xung đột</x:t>
        </x:is>
      </x:c>
      <x:c r="N25" s="3" t="inlineStr">
        <x:is>
          <x:t xml:space="preserve">Chưa bắt đầu</x:t>
        </x:is>
      </x:c>
      <x:c r="O25" s="8" t="n">
        <x:v>0</x:v>
      </x:c>
    </x:row>
    <x:row r="26">
      <x:c r="A26" s="3" t="inlineStr">
        <x:is>
          <x:t xml:space="preserve">C03</x:t>
        </x:is>
      </x:c>
      <x:c r="B26" s="3" t="inlineStr">
        <x:is>
          <x:t xml:space="preserve">Thư viện note</x:t>
        </x:is>
      </x:c>
      <x:c r="C26" s="3" t="inlineStr">
        <x:is>
          <x:t xml:space="preserve">UI</x:t>
        </x:is>
      </x:c>
      <x:c r="D26" s="3" t="inlineStr">
        <x:is>
          <x:t xml:space="preserve">Màn hình danh sách/chi tiết/sửa/xoá note và phân mục</x:t>
        </x:is>
      </x:c>
      <x:c r="E26" s="3" t="inlineStr">
        <x:is>
          <x:t xml:space="preserve">Trần Thùy Dương</x:t>
        </x:is>
      </x:c>
      <x:c r="F26" s="3" t="inlineStr">
        <x:is>
          <x:t xml:space="preserve">Lê Đăng Sơn</x:t>
        </x:is>
      </x:c>
      <x:c r="G26" s="3" t="n">
        <x:v>4</x:v>
      </x:c>
      <x:c r="H26" s="3" t="n">
        <x:v>5</x:v>
      </x:c>
      <x:c r="I26" s="3" t="n">
        <x:v>10</x:v>
      </x:c>
      <x:c r="J26" s="3" t="inlineStr">
        <x:is>
          <x:t xml:space="preserve">P0</x:t>
        </x:is>
      </x:c>
      <x:c r="K26" s="3" t="inlineStr">
        <x:is>
          <x:t xml:space="preserve">A05,C01</x:t>
        </x:is>
      </x:c>
      <x:c r="L26" s="3" t="inlineStr">
        <x:is>
          <x:t xml:space="preserve">Note library UI</x:t>
        </x:is>
      </x:c>
      <x:c r="M26" s="3" t="inlineStr">
        <x:is>
          <x:t xml:space="preserve">Browse/edit/delete/filter chạy với cache và server</x:t>
        </x:is>
      </x:c>
      <x:c r="N26" s="3" t="inlineStr">
        <x:is>
          <x:t xml:space="preserve">Chưa bắt đầu</x:t>
        </x:is>
      </x:c>
      <x:c r="O26" s="8" t="n">
        <x:v>0</x:v>
      </x:c>
    </x:row>
    <x:row r="27">
      <x:c r="A27" s="3" t="inlineStr">
        <x:is>
          <x:t xml:space="preserve">C04</x:t>
        </x:is>
      </x:c>
      <x:c r="B27" s="3" t="inlineStr">
        <x:is>
          <x:t xml:space="preserve">Thư viện note</x:t>
        </x:is>
      </x:c>
      <x:c r="C27" s="3" t="inlineStr">
        <x:is>
          <x:t xml:space="preserve">Extension</x:t>
        </x:is>
      </x:c>
      <x:c r="D27" s="3" t="inlineStr">
        <x:is>
          <x:t xml:space="preserve">Tích hợp metadata, category filter và đồng bộ trạng thái UI</x:t>
        </x:is>
      </x:c>
      <x:c r="E27" s="3" t="inlineStr">
        <x:is>
          <x:t xml:space="preserve">Lê Đăng Sơn</x:t>
        </x:is>
      </x:c>
      <x:c r="F27" s="3" t="inlineStr">
        <x:is>
          <x:t xml:space="preserve">Trần Thùy Dương</x:t>
        </x:is>
      </x:c>
      <x:c r="G27" s="3" t="n">
        <x:v>5</x:v>
      </x:c>
      <x:c r="H27" s="3" t="n">
        <x:v>5</x:v>
      </x:c>
      <x:c r="I27" s="3" t="n">
        <x:v>6</x:v>
      </x:c>
      <x:c r="J27" s="3" t="inlineStr">
        <x:is>
          <x:t xml:space="preserve">P0</x:t>
        </x:is>
      </x:c>
      <x:c r="K27" s="3" t="inlineStr">
        <x:is>
          <x:t xml:space="preserve">C02,C03</x:t>
        </x:is>
      </x:c>
      <x:c r="L27" s="3" t="inlineStr">
        <x:is>
          <x:t xml:space="preserve">Filter integration</x:t>
        </x:is>
      </x:c>
      <x:c r="M27" s="3" t="inlineStr">
        <x:is>
          <x:t xml:space="preserve">Kết quả đúng giữa local/server; refresh không mất trạng thái</x:t>
        </x:is>
      </x:c>
      <x:c r="N27" s="3" t="inlineStr">
        <x:is>
          <x:t xml:space="preserve">Chưa bắt đầu</x:t>
        </x:is>
      </x:c>
      <x:c r="O27" s="8" t="n">
        <x:v>0</x:v>
      </x:c>
    </x:row>
    <x:row r="28">
      <x:c r="A28" s="3" t="inlineStr">
        <x:is>
          <x:t xml:space="preserve">C05</x:t>
        </x:is>
      </x:c>
      <x:c r="B28" s="3" t="inlineStr">
        <x:is>
          <x:t xml:space="preserve">Thư viện note</x:t>
        </x:is>
      </x:c>
      <x:c r="C28" s="3" t="inlineStr">
        <x:is>
          <x:t xml:space="preserve">QA</x:t>
        </x:is>
      </x:c>
      <x:c r="D28" s="3" t="inlineStr">
        <x:is>
          <x:t xml:space="preserve">Test CRUD, cache-first, offline, sync conflict và xoá hàng loạt</x:t>
        </x:is>
      </x:c>
      <x:c r="E28" s="3" t="inlineStr">
        <x:is>
          <x:t xml:space="preserve">Trần Thùy Dương</x:t>
        </x:is>
      </x:c>
      <x:c r="F28" s="3" t="inlineStr">
        <x:is>
          <x:t xml:space="preserve">Trịnh Mạnh Quang</x:t>
        </x:is>
      </x:c>
      <x:c r="G28" s="3" t="n">
        <x:v>5</x:v>
      </x:c>
      <x:c r="H28" s="3" t="n">
        <x:v>5</x:v>
      </x:c>
      <x:c r="I28" s="3" t="n">
        <x:v>6</x:v>
      </x:c>
      <x:c r="J28" s="3" t="inlineStr">
        <x:is>
          <x:t xml:space="preserve">P0</x:t>
        </x:is>
      </x:c>
      <x:c r="K28" s="3" t="inlineStr">
        <x:is>
          <x:t xml:space="preserve">C01,C02,C03,C04</x:t>
        </x:is>
      </x:c>
      <x:c r="L28" s="3" t="inlineStr">
        <x:is>
          <x:t xml:space="preserve">CRUD/offline test suite</x:t>
        </x:is>
      </x:c>
      <x:c r="M28" s="3" t="inlineStr">
        <x:is>
          <x:t xml:space="preserve">Ca dữ liệu trống/lỗi mạng/xung đột đều được xác minh</x:t>
        </x:is>
      </x:c>
      <x:c r="N28" s="3" t="inlineStr">
        <x:is>
          <x:t xml:space="preserve">Chưa bắt đầu</x:t>
        </x:is>
      </x:c>
      <x:c r="O28" s="8" t="n">
        <x:v>0</x:v>
      </x:c>
    </x:row>
    <x:row r="29">
      <x:c r="A29" s="3" t="inlineStr">
        <x:is>
          <x:t xml:space="preserve">R01</x:t>
        </x:is>
      </x:c>
      <x:c r="B29" s="3" t="inlineStr">
        <x:is>
          <x:t xml:space="preserve">RAG</x:t>
        </x:is>
      </x:c>
      <x:c r="C29" s="3" t="inlineStr">
        <x:is>
          <x:t xml:space="preserve">AI</x:t>
        </x:is>
      </x:c>
      <x:c r="D29" s="3" t="inlineStr">
        <x:is>
          <x:t xml:space="preserve">Xây hybrid retrieval: BM25 + cosine similarity + search pool theo user</x:t>
        </x:is>
      </x:c>
      <x:c r="E29" s="3" t="inlineStr">
        <x:is>
          <x:t xml:space="preserve">Mai Đức Vinh</x:t>
        </x:is>
      </x:c>
      <x:c r="F29" s="3" t="inlineStr">
        <x:is>
          <x:t xml:space="preserve">Trịnh Mạnh Quang</x:t>
        </x:is>
      </x:c>
      <x:c r="G29" s="3" t="n">
        <x:v>4</x:v>
      </x:c>
      <x:c r="H29" s="3" t="n">
        <x:v>5</x:v>
      </x:c>
      <x:c r="I29" s="3" t="n">
        <x:v>12</x:v>
      </x:c>
      <x:c r="J29" s="3" t="inlineStr">
        <x:is>
          <x:t xml:space="preserve">P0</x:t>
        </x:is>
      </x:c>
      <x:c r="K29" s="3" t="inlineStr">
        <x:is>
          <x:t xml:space="preserve">N04,N05</x:t>
        </x:is>
      </x:c>
      <x:c r="L29" s="3" t="inlineStr">
        <x:is>
          <x:t xml:space="preserve">Hybrid retrieval</x:t>
        </x:is>
      </x:c>
      <x:c r="M29" s="3" t="inlineStr">
        <x:is>
          <x:t xml:space="preserve">Không rò dữ liệu chéo user; có top-k và score</x:t>
        </x:is>
      </x:c>
      <x:c r="N29" s="3" t="inlineStr">
        <x:is>
          <x:t xml:space="preserve">Chưa bắt đầu</x:t>
        </x:is>
      </x:c>
      <x:c r="O29" s="8" t="n">
        <x:v>0</x:v>
      </x:c>
    </x:row>
    <x:row r="30">
      <x:c r="A30" s="3" t="inlineStr">
        <x:is>
          <x:t xml:space="preserve">R02</x:t>
        </x:is>
      </x:c>
      <x:c r="B30" s="3" t="inlineStr">
        <x:is>
          <x:t xml:space="preserve">RAG</x:t>
        </x:is>
      </x:c>
      <x:c r="C30" s="3" t="inlineStr">
        <x:is>
          <x:t xml:space="preserve">AI</x:t>
        </x:is>
      </x:c>
      <x:c r="D30" s="3" t="inlineStr">
        <x:is>
          <x:t xml:space="preserve">Tích hợp rerank top-k và fallback khi provider lỗi</x:t>
        </x:is>
      </x:c>
      <x:c r="E30" s="3" t="inlineStr">
        <x:is>
          <x:t xml:space="preserve">Mai Đức Vinh</x:t>
        </x:is>
      </x:c>
      <x:c r="F30" s="3" t="inlineStr">
        <x:is>
          <x:t xml:space="preserve">Trịnh Mạnh Quang</x:t>
        </x:is>
      </x:c>
      <x:c r="G30" s="3" t="n">
        <x:v>5</x:v>
      </x:c>
      <x:c r="H30" s="3" t="n">
        <x:v>5</x:v>
      </x:c>
      <x:c r="I30" s="3" t="n">
        <x:v>8</x:v>
      </x:c>
      <x:c r="J30" s="3" t="inlineStr">
        <x:is>
          <x:t xml:space="preserve">P0</x:t>
        </x:is>
      </x:c>
      <x:c r="K30" s="3" t="inlineStr">
        <x:is>
          <x:t xml:space="preserve">R01,P07</x:t>
        </x:is>
      </x:c>
      <x:c r="L30" s="3" t="inlineStr">
        <x:is>
          <x:t xml:space="preserve">Rerank adapter</x:t>
        </x:is>
      </x:c>
      <x:c r="M30" s="3" t="inlineStr">
        <x:is>
          <x:t xml:space="preserve">Trả top-10 ổn định; timeout/fallback được test</x:t>
        </x:is>
      </x:c>
      <x:c r="N30" s="3" t="inlineStr">
        <x:is>
          <x:t xml:space="preserve">Chưa bắt đầu</x:t>
        </x:is>
      </x:c>
      <x:c r="O30" s="8" t="n">
        <x:v>0</x:v>
      </x:c>
    </x:row>
    <x:row r="31">
      <x:c r="A31" s="3" t="inlineStr">
        <x:is>
          <x:t xml:space="preserve">R03</x:t>
        </x:is>
      </x:c>
      <x:c r="B31" s="3" t="inlineStr">
        <x:is>
          <x:t xml:space="preserve">RAG</x:t>
        </x:is>
      </x:c>
      <x:c r="C31" s="3" t="inlineStr">
        <x:is>
          <x:t xml:space="preserve">Backend</x:t>
        </x:is>
      </x:c>
      <x:c r="D31" s="3" t="inlineStr">
        <x:is>
          <x:t xml:space="preserve">Cài POST /search/ranking: auth, quota, metadata filter và response</x:t>
        </x:is>
      </x:c>
      <x:c r="E31" s="3" t="inlineStr">
        <x:is>
          <x:t xml:space="preserve">Trịnh Mạnh Quang</x:t>
        </x:is>
      </x:c>
      <x:c r="F31" s="3" t="inlineStr">
        <x:is>
          <x:t xml:space="preserve">Mai Đức Vinh</x:t>
        </x:is>
      </x:c>
      <x:c r="G31" s="3" t="n">
        <x:v>5</x:v>
      </x:c>
      <x:c r="H31" s="3" t="n">
        <x:v>6</x:v>
      </x:c>
      <x:c r="I31" s="3" t="n">
        <x:v>10</x:v>
      </x:c>
      <x:c r="J31" s="3" t="inlineStr">
        <x:is>
          <x:t xml:space="preserve">P0</x:t>
        </x:is>
      </x:c>
      <x:c r="K31" s="3" t="inlineStr">
        <x:is>
          <x:t xml:space="preserve">R01,R02,A04</x:t>
        </x:is>
      </x:c>
      <x:c r="L31" s="3" t="inlineStr">
        <x:is>
          <x:t xml:space="preserve">Search API</x:t>
        </x:is>
      </x:c>
      <x:c r="M31" s="3" t="inlineStr">
        <x:is>
          <x:t xml:space="preserve">Contract đúng; quota đúng; filter category pass</x:t>
        </x:is>
      </x:c>
      <x:c r="N31" s="3" t="inlineStr">
        <x:is>
          <x:t xml:space="preserve">Chưa bắt đầu</x:t>
        </x:is>
      </x:c>
      <x:c r="O31" s="8" t="n">
        <x:v>0</x:v>
      </x:c>
    </x:row>
    <x:row r="32">
      <x:c r="A32" s="3" t="inlineStr">
        <x:is>
          <x:t xml:space="preserve">R04</x:t>
        </x:is>
      </x:c>
      <x:c r="B32" s="3" t="inlineStr">
        <x:is>
          <x:t xml:space="preserve">RAG</x:t>
        </x:is>
      </x:c>
      <x:c r="C32" s="3" t="inlineStr">
        <x:is>
          <x:t xml:space="preserve">Extension</x:t>
        </x:is>
      </x:c>
      <x:c r="D32" s="3" t="inlineStr">
        <x:is>
          <x:t xml:space="preserve">Màn hình tìm kiếm/chat, gọi API và render chunk/rank</x:t>
        </x:is>
      </x:c>
      <x:c r="E32" s="3" t="inlineStr">
        <x:is>
          <x:t xml:space="preserve">Lê Đăng Sơn</x:t>
        </x:is>
      </x:c>
      <x:c r="F32" s="3" t="inlineStr">
        <x:is>
          <x:t xml:space="preserve">Trần Thùy Dương</x:t>
        </x:is>
      </x:c>
      <x:c r="G32" s="3" t="n">
        <x:v>5</x:v>
      </x:c>
      <x:c r="H32" s="3" t="n">
        <x:v>6</x:v>
      </x:c>
      <x:c r="I32" s="3" t="n">
        <x:v>8</x:v>
      </x:c>
      <x:c r="J32" s="3" t="inlineStr">
        <x:is>
          <x:t xml:space="preserve">P0</x:t>
        </x:is>
      </x:c>
      <x:c r="K32" s="3" t="inlineStr">
        <x:is>
          <x:t xml:space="preserve">A05,R03</x:t>
        </x:is>
      </x:c>
      <x:c r="L32" s="3" t="inlineStr">
        <x:is>
          <x:t xml:space="preserve">RAG search UI</x:t>
        </x:is>
      </x:c>
      <x:c r="M32" s="3" t="inlineStr">
        <x:is>
          <x:t xml:space="preserve">Loading/error/empty/result rõ; mở được note nguồn</x:t>
        </x:is>
      </x:c>
      <x:c r="N32" s="3" t="inlineStr">
        <x:is>
          <x:t xml:space="preserve">Chưa bắt đầu</x:t>
        </x:is>
      </x:c>
      <x:c r="O32" s="8" t="n">
        <x:v>0</x:v>
      </x:c>
    </x:row>
    <x:row r="33">
      <x:c r="A33" s="3" t="inlineStr">
        <x:is>
          <x:t xml:space="preserve">R05</x:t>
        </x:is>
      </x:c>
      <x:c r="B33" s="3" t="inlineStr">
        <x:is>
          <x:t xml:space="preserve">RAG</x:t>
        </x:is>
      </x:c>
      <x:c r="C33" s="3" t="inlineStr">
        <x:is>
          <x:t xml:space="preserve">QA/UX</x:t>
        </x:is>
      </x:c>
      <x:c r="D33" s="3" t="inlineStr">
        <x:is>
          <x:t xml:space="preserve">Đánh giá trải nghiệm kết quả RAG và test phân quyền/quota</x:t>
        </x:is>
      </x:c>
      <x:c r="E33" s="3" t="inlineStr">
        <x:is>
          <x:t xml:space="preserve">Trần Thùy Dương</x:t>
        </x:is>
      </x:c>
      <x:c r="F33" s="3" t="inlineStr">
        <x:is>
          <x:t xml:space="preserve">Mai Đức Vinh</x:t>
        </x:is>
      </x:c>
      <x:c r="G33" s="3" t="n">
        <x:v>6</x:v>
      </x:c>
      <x:c r="H33" s="3" t="n">
        <x:v>6</x:v>
      </x:c>
      <x:c r="I33" s="3" t="n">
        <x:v>6</x:v>
      </x:c>
      <x:c r="J33" s="3" t="inlineStr">
        <x:is>
          <x:t xml:space="preserve">P0</x:t>
        </x:is>
      </x:c>
      <x:c r="K33" s="3" t="inlineStr">
        <x:is>
          <x:t xml:space="preserve">R03,R04</x:t>
        </x:is>
      </x:c>
      <x:c r="L33" s="3" t="inlineStr">
        <x:is>
          <x:t xml:space="preserve">RAG acceptance report</x:t>
        </x:is>
      </x:c>
      <x:c r="M33" s="3" t="inlineStr">
        <x:is>
          <x:t xml:space="preserve">Không lộ dữ liệu; kết quả đáp ứng bộ query mẫu</x:t>
        </x:is>
      </x:c>
      <x:c r="N33" s="3" t="inlineStr">
        <x:is>
          <x:t xml:space="preserve">Chưa bắt đầu</x:t>
        </x:is>
      </x:c>
      <x:c r="O33" s="8" t="n">
        <x:v>0</x:v>
      </x:c>
    </x:row>
    <x:row r="34">
      <x:c r="A34" s="3" t="inlineStr">
        <x:is>
          <x:t xml:space="preserve">S01</x:t>
        </x:is>
      </x:c>
      <x:c r="B34" s="3" t="inlineStr">
        <x:is>
          <x:t xml:space="preserve">Skim trang</x:t>
        </x:is>
      </x:c>
      <x:c r="C34" s="3" t="inlineStr">
        <x:is>
          <x:t xml:space="preserve">Extension</x:t>
        </x:is>
      </x:c>
      <x:c r="D34" s="3" t="inlineStr">
        <x:is>
          <x:t xml:space="preserve">Readability extraction, session UUID theo tab+user</x:t>
        </x:is>
      </x:c>
      <x:c r="E34" s="3" t="inlineStr">
        <x:is>
          <x:t xml:space="preserve">Lê Đăng Sơn</x:t>
        </x:is>
      </x:c>
      <x:c r="F34" s="3" t="inlineStr">
        <x:is>
          <x:t xml:space="preserve">Mai Đức Vinh</x:t>
        </x:is>
      </x:c>
      <x:c r="G34" s="3" t="n">
        <x:v>6</x:v>
      </x:c>
      <x:c r="H34" s="3" t="n">
        <x:v>6</x:v>
      </x:c>
      <x:c r="I34" s="3" t="n">
        <x:v>8</x:v>
      </x:c>
      <x:c r="J34" s="3" t="inlineStr">
        <x:is>
          <x:t xml:space="preserve">P1</x:t>
        </x:is>
      </x:c>
      <x:c r="K34" s="3" t="inlineStr">
        <x:is>
          <x:t xml:space="preserve">P05</x:t>
        </x:is>
      </x:c>
      <x:c r="L34" s="3" t="inlineStr">
        <x:is>
          <x:t xml:space="preserve">Page extraction</x:t>
        </x:is>
      </x:c>
      <x:c r="M34" s="3" t="inlineStr">
        <x:is>
          <x:t xml:space="preserve">Loại bỏ menu/quảng cáo; session tách theo tab/user</x:t>
        </x:is>
      </x:c>
      <x:c r="N34" s="3" t="inlineStr">
        <x:is>
          <x:t xml:space="preserve">Chưa bắt đầu</x:t>
        </x:is>
      </x:c>
      <x:c r="O34" s="8" t="n">
        <x:v>0</x:v>
      </x:c>
    </x:row>
    <x:row r="35">
      <x:c r="A35" s="3" t="inlineStr">
        <x:is>
          <x:t xml:space="preserve">S02</x:t>
        </x:is>
      </x:c>
      <x:c r="B35" s="3" t="inlineStr">
        <x:is>
          <x:t xml:space="preserve">Skim trang</x:t>
        </x:is>
      </x:c>
      <x:c r="C35" s="3" t="inlineStr">
        <x:is>
          <x:t xml:space="preserve">AI/Backend</x:t>
        </x:is>
      </x:c>
      <x:c r="D35" s="3" t="inlineStr">
        <x:is>
          <x:t xml:space="preserve">Cài /skim/prepare, /skim/search và bộ nhớ session có TTL</x:t>
        </x:is>
      </x:c>
      <x:c r="E35" s="3" t="inlineStr">
        <x:is>
          <x:t xml:space="preserve">Mai Đức Vinh</x:t>
        </x:is>
      </x:c>
      <x:c r="F35" s="3" t="inlineStr">
        <x:is>
          <x:t xml:space="preserve">Trịnh Mạnh Quang</x:t>
        </x:is>
      </x:c>
      <x:c r="G35" s="3" t="n">
        <x:v>6</x:v>
      </x:c>
      <x:c r="H35" s="3" t="n">
        <x:v>7</x:v>
      </x:c>
      <x:c r="I35" s="3" t="n">
        <x:v>10</x:v>
      </x:c>
      <x:c r="J35" s="3" t="inlineStr">
        <x:is>
          <x:t xml:space="preserve">P1</x:t>
        </x:is>
      </x:c>
      <x:c r="K35" s="3" t="inlineStr">
        <x:is>
          <x:t xml:space="preserve">S01,R01,R02</x:t>
        </x:is>
      </x:c>
      <x:c r="L35" s="3" t="inlineStr">
        <x:is>
          <x:t xml:space="preserve">Skim APIs</x:t>
        </x:is>
      </x:c>
      <x:c r="M35" s="3" t="inlineStr">
        <x:is>
          <x:t xml:space="preserve">Có TTL/limit; xử lý session missing/expired</x:t>
        </x:is>
      </x:c>
      <x:c r="N35" s="3" t="inlineStr">
        <x:is>
          <x:t xml:space="preserve">Chưa bắt đầu</x:t>
        </x:is>
      </x:c>
      <x:c r="O35" s="8" t="n">
        <x:v>0</x:v>
      </x:c>
    </x:row>
    <x:row r="36">
      <x:c r="A36" s="3" t="inlineStr">
        <x:is>
          <x:t xml:space="preserve">S03</x:t>
        </x:is>
      </x:c>
      <x:c r="B36" s="3" t="inlineStr">
        <x:is>
          <x:t xml:space="preserve">Skim trang</x:t>
        </x:is>
      </x:c>
      <x:c r="C36" s="3" t="inlineStr">
        <x:is>
          <x:t xml:space="preserve">AI</x:t>
        </x:is>
      </x:c>
      <x:c r="D36" s="3" t="inlineStr">
        <x:is>
          <x:t xml:space="preserve">Pipeline chunk/embed/search/rerank tạm thời cho nội dung trang</x:t>
        </x:is>
      </x:c>
      <x:c r="E36" s="3" t="inlineStr">
        <x:is>
          <x:t xml:space="preserve">Mai Đức Vinh</x:t>
        </x:is>
      </x:c>
      <x:c r="F36" s="3" t="inlineStr">
        <x:is>
          <x:t xml:space="preserve">Trịnh Mạnh Quang</x:t>
        </x:is>
      </x:c>
      <x:c r="G36" s="3" t="n">
        <x:v>6</x:v>
      </x:c>
      <x:c r="H36" s="3" t="n">
        <x:v>7</x:v>
      </x:c>
      <x:c r="I36" s="3" t="n">
        <x:v>10</x:v>
      </x:c>
      <x:c r="J36" s="3" t="inlineStr">
        <x:is>
          <x:t xml:space="preserve">P1</x:t>
        </x:is>
      </x:c>
      <x:c r="K36" s="3" t="inlineStr">
        <x:is>
          <x:t xml:space="preserve">S01,R01,R02</x:t>
        </x:is>
      </x:c>
      <x:c r="L36" s="3" t="inlineStr">
        <x:is>
          <x:t xml:space="preserve">Skim AI pipeline</x:t>
        </x:is>
      </x:c>
      <x:c r="M36" s="3" t="inlineStr">
        <x:is>
          <x:t xml:space="preserve">Không ghi lâu dài trước khi user chọn; latency được đo</x:t>
        </x:is>
      </x:c>
      <x:c r="N36" s="3" t="inlineStr">
        <x:is>
          <x:t xml:space="preserve">Chưa bắt đầu</x:t>
        </x:is>
      </x:c>
      <x:c r="O36" s="8" t="n">
        <x:v>0</x:v>
      </x:c>
    </x:row>
    <x:row r="37">
      <x:c r="A37" s="3" t="inlineStr">
        <x:is>
          <x:t xml:space="preserve">S04</x:t>
        </x:is>
      </x:c>
      <x:c r="B37" s="3" t="inlineStr">
        <x:is>
          <x:t xml:space="preserve">Skim trang</x:t>
        </x:is>
      </x:c>
      <x:c r="C37" s="3" t="inlineStr">
        <x:is>
          <x:t xml:space="preserve">UI</x:t>
        </x:is>
      </x:c>
      <x:c r="D37" s="3" t="inlineStr">
        <x:is>
          <x:t xml:space="preserve">UI prompt, hint chuẩn bị/tìm kiếm, preview và chọn đoạn để lưu</x:t>
        </x:is>
      </x:c>
      <x:c r="E37" s="3" t="inlineStr">
        <x:is>
          <x:t xml:space="preserve">Trần Thùy Dương</x:t>
        </x:is>
      </x:c>
      <x:c r="F37" s="3" t="inlineStr">
        <x:is>
          <x:t xml:space="preserve">Lê Đăng Sơn</x:t>
        </x:is>
      </x:c>
      <x:c r="G37" s="3" t="n">
        <x:v>6</x:v>
      </x:c>
      <x:c r="H37" s="3" t="n">
        <x:v>7</x:v>
      </x:c>
      <x:c r="I37" s="3" t="n">
        <x:v>8</x:v>
      </x:c>
      <x:c r="J37" s="3" t="inlineStr">
        <x:is>
          <x:t xml:space="preserve">P1</x:t>
        </x:is>
      </x:c>
      <x:c r="K37" s="3" t="inlineStr">
        <x:is>
          <x:t xml:space="preserve">A05,S01,S02</x:t>
        </x:is>
      </x:c>
      <x:c r="L37" s="3" t="inlineStr">
        <x:is>
          <x:t xml:space="preserve">Skim UI</x:t>
        </x:is>
      </x:c>
      <x:c r="M37" s="3" t="inlineStr">
        <x:is>
          <x:t xml:space="preserve">Đúng trạng thái Ready/chưa Ready; chọn nhiều đoạn được</x:t>
        </x:is>
      </x:c>
      <x:c r="N37" s="3" t="inlineStr">
        <x:is>
          <x:t xml:space="preserve">Chưa bắt đầu</x:t>
        </x:is>
      </x:c>
      <x:c r="O37" s="8" t="n">
        <x:v>0</x:v>
      </x:c>
    </x:row>
    <x:row r="38">
      <x:c r="A38" s="3" t="inlineStr">
        <x:is>
          <x:t xml:space="preserve">S05</x:t>
        </x:is>
      </x:c>
      <x:c r="B38" s="3" t="inlineStr">
        <x:is>
          <x:t xml:space="preserve">Skim trang</x:t>
        </x:is>
      </x:c>
      <x:c r="C38" s="3" t="inlineStr">
        <x:is>
          <x:t xml:space="preserve">Backend</x:t>
        </x:is>
      </x:c>
      <x:c r="D38" s="3" t="inlineStr">
        <x:is>
          <x:t xml:space="preserve">Cài lưu các chunk đã chọn qua contract note thống nhất</x:t>
        </x:is>
      </x:c>
      <x:c r="E38" s="3" t="inlineStr">
        <x:is>
          <x:t xml:space="preserve">Trịnh Mạnh Quang</x:t>
        </x:is>
      </x:c>
      <x:c r="F38" s="3" t="inlineStr">
        <x:is>
          <x:t xml:space="preserve">Lê Đăng Sơn</x:t>
        </x:is>
      </x:c>
      <x:c r="G38" s="3" t="n">
        <x:v>7</x:v>
      </x:c>
      <x:c r="H38" s="3" t="n">
        <x:v>7</x:v>
      </x:c>
      <x:c r="I38" s="3" t="n">
        <x:v>6</x:v>
      </x:c>
      <x:c r="J38" s="3" t="inlineStr">
        <x:is>
          <x:t xml:space="preserve">P1</x:t>
        </x:is>
      </x:c>
      <x:c r="K38" s="3" t="inlineStr">
        <x:is>
          <x:t xml:space="preserve">S02,S03,P02</x:t>
        </x:is>
      </x:c>
      <x:c r="L38" s="3" t="inlineStr">
        <x:is>
          <x:t xml:space="preserve">Save selected chunks</x:t>
        </x:is>
      </x:c>
      <x:c r="M38" s="3" t="inlineStr">
        <x:is>
          <x:t xml:space="preserve">Lưu note+vector đúng ownership; không tạo trùng</x:t>
        </x:is>
      </x:c>
      <x:c r="N38" s="3" t="inlineStr">
        <x:is>
          <x:t xml:space="preserve">Chưa bắt đầu</x:t>
        </x:is>
      </x:c>
      <x:c r="O38" s="8" t="n">
        <x:v>0</x:v>
      </x:c>
    </x:row>
    <x:row r="39">
      <x:c r="A39" s="3" t="inlineStr">
        <x:is>
          <x:t xml:space="preserve">S06</x:t>
        </x:is>
      </x:c>
      <x:c r="B39" s="3" t="inlineStr">
        <x:is>
          <x:t xml:space="preserve">Skim trang</x:t>
        </x:is>
      </x:c>
      <x:c r="C39" s="3" t="inlineStr">
        <x:is>
          <x:t xml:space="preserve">QA</x:t>
        </x:is>
      </x:c>
      <x:c r="D39" s="3" t="inlineStr">
        <x:is>
          <x:t xml:space="preserve">E2E skim: trang dài, chưa ready, hết quota, session hết hạn</x:t>
        </x:is>
      </x:c>
      <x:c r="E39" s="3" t="inlineStr">
        <x:is>
          <x:t xml:space="preserve">Trần Thùy Dương</x:t>
        </x:is>
      </x:c>
      <x:c r="F39" s="3" t="inlineStr">
        <x:is>
          <x:t xml:space="preserve">Mai Đức Vinh</x:t>
        </x:is>
      </x:c>
      <x:c r="G39" s="3" t="n">
        <x:v>7</x:v>
      </x:c>
      <x:c r="H39" s="3" t="n">
        <x:v>7</x:v>
      </x:c>
      <x:c r="I39" s="3" t="n">
        <x:v>6</x:v>
      </x:c>
      <x:c r="J39" s="3" t="inlineStr">
        <x:is>
          <x:t xml:space="preserve">P1</x:t>
        </x:is>
      </x:c>
      <x:c r="K39" s="3" t="inlineStr">
        <x:is>
          <x:t xml:space="preserve">S02,S03,S04,S05</x:t>
        </x:is>
      </x:c>
      <x:c r="L39" s="3" t="inlineStr">
        <x:is>
          <x:t xml:space="preserve">Skim E2E report</x:t>
        </x:is>
      </x:c>
      <x:c r="M39" s="3" t="inlineStr">
        <x:is>
          <x:t xml:space="preserve">Happy path và nhánh lỗi trọng yếu pass</x:t>
        </x:is>
      </x:c>
      <x:c r="N39" s="3" t="inlineStr">
        <x:is>
          <x:t xml:space="preserve">Chưa bắt đầu</x:t>
        </x:is>
      </x:c>
      <x:c r="O39" s="8" t="n">
        <x:v>0</x:v>
      </x:c>
    </x:row>
    <x:row r="40">
      <x:c r="A40" s="3" t="inlineStr">
        <x:is>
          <x:t xml:space="preserve">G01</x:t>
        </x:is>
      </x:c>
      <x:c r="B40" s="3" t="inlineStr">
        <x:is>
          <x:t xml:space="preserve">Khoảng trống</x:t>
        </x:is>
      </x:c>
      <x:c r="C40" s="3" t="inlineStr">
        <x:is>
          <x:t xml:space="preserve">Đặc tả</x:t>
        </x:is>
      </x:c>
      <x:c r="D40" s="3" t="inlineStr">
        <x:is>
          <x:t xml:space="preserve">Đặc tả riêng chức năng Tóm tắt nội dung đang thiếu trong file kịch bản</x:t>
        </x:is>
      </x:c>
      <x:c r="E40" s="3" t="inlineStr">
        <x:is>
          <x:t xml:space="preserve">Trần Thùy Dương</x:t>
        </x:is>
      </x:c>
      <x:c r="F40" s="3" t="inlineStr">
        <x:is>
          <x:t xml:space="preserve">Mai Đức Vinh</x:t>
        </x:is>
      </x:c>
      <x:c r="G40" s="3" t="n">
        <x:v>2</x:v>
      </x:c>
      <x:c r="H40" s="3" t="n">
        <x:v>2</x:v>
      </x:c>
      <x:c r="I40" s="3" t="n">
        <x:v>5</x:v>
      </x:c>
      <x:c r="J40" s="3" t="inlineStr">
        <x:is>
          <x:t xml:space="preserve">P1</x:t>
        </x:is>
      </x:c>
      <x:c r="K40" s="3" t="inlineStr">
        <x:is>
          <x:t xml:space="preserve">P04</x:t>
        </x:is>
      </x:c>
      <x:c r="L40" s="3" t="inlineStr">
        <x:is>
          <x:t xml:space="preserve">Scenario + acceptance</x:t>
        </x:is>
      </x:c>
      <x:c r="M40" s="3" t="inlineStr">
        <x:is>
          <x:t xml:space="preserve">Chốt đầu vào/đầu ra/lưu trữ/quota/privacy; quyết định nhận vào P1 hoặc hoãn</x:t>
        </x:is>
      </x:c>
      <x:c r="N40" s="3" t="inlineStr">
        <x:is>
          <x:t xml:space="preserve">Chưa bắt đầu</x:t>
        </x:is>
      </x:c>
      <x:c r="O40" s="8" t="n">
        <x:v>0</x:v>
      </x:c>
    </x:row>
    <x:row r="41">
      <x:c r="A41" s="3" t="inlineStr">
        <x:is>
          <x:t xml:space="preserve">H01</x:t>
        </x:is>
      </x:c>
      <x:c r="B41" s="3" t="inlineStr">
        <x:is>
          <x:t xml:space="preserve">Hoàn thiện</x:t>
        </x:is>
      </x:c>
      <x:c r="C41" s="3" t="inlineStr">
        <x:is>
          <x:t xml:space="preserve">Bảo mật</x:t>
        </x:is>
      </x:c>
      <x:c r="D41" s="3" t="inlineStr">
        <x:is>
          <x:t xml:space="preserve">Rà soát permission MV3, CSP, secret/token và dữ liệu nhạy cảm</x:t>
        </x:is>
      </x:c>
      <x:c r="E41" s="3" t="inlineStr">
        <x:is>
          <x:t xml:space="preserve">Lê Đăng Sơn</x:t>
        </x:is>
      </x:c>
      <x:c r="F41" s="3" t="inlineStr">
        <x:is>
          <x:t xml:space="preserve">Trịnh Mạnh Quang</x:t>
        </x:is>
      </x:c>
      <x:c r="G41" s="3" t="n">
        <x:v>7</x:v>
      </x:c>
      <x:c r="H41" s="3" t="n">
        <x:v>8</x:v>
      </x:c>
      <x:c r="I41" s="3" t="n">
        <x:v>6</x:v>
      </x:c>
      <x:c r="J41" s="3" t="inlineStr">
        <x:is>
          <x:t xml:space="preserve">P0</x:t>
        </x:is>
      </x:c>
      <x:c r="K41" s="3" t="inlineStr">
        <x:is>
          <x:t xml:space="preserve">A03,C02,S01</x:t>
        </x:is>
      </x:c>
      <x:c r="L41" s="3" t="inlineStr">
        <x:is>
          <x:t xml:space="preserve">Security checklist</x:t>
        </x:is>
      </x:c>
      <x:c r="M41" s="3" t="inlineStr">
        <x:is>
          <x:t xml:space="preserve">Least privilege; không secret trong bundle/log</x:t>
        </x:is>
      </x:c>
      <x:c r="N41" s="3" t="inlineStr">
        <x:is>
          <x:t xml:space="preserve">Chưa bắt đầu</x:t>
        </x:is>
      </x:c>
      <x:c r="O41" s="8" t="n">
        <x:v>0</x:v>
      </x:c>
    </x:row>
    <x:row r="42">
      <x:c r="A42" s="3" t="inlineStr">
        <x:is>
          <x:t xml:space="preserve">H02</x:t>
        </x:is>
      </x:c>
      <x:c r="B42" s="3" t="inlineStr">
        <x:is>
          <x:t xml:space="preserve">Hoàn thiện</x:t>
        </x:is>
      </x:c>
      <x:c r="C42" s="3" t="inlineStr">
        <x:is>
          <x:t xml:space="preserve">Bảo mật</x:t>
        </x:is>
      </x:c>
      <x:c r="D42" s="3" t="inlineStr">
        <x:is>
          <x:t xml:space="preserve">Validation, Google OAuth token/session validation, rate limit, CORS/HTTPS config và kiểm tra ownership API</x:t>
        </x:is>
      </x:c>
      <x:c r="E42" s="3" t="inlineStr">
        <x:is>
          <x:t xml:space="preserve">Trịnh Mạnh Quang</x:t>
        </x:is>
      </x:c>
      <x:c r="F42" s="3" t="inlineStr">
        <x:is>
          <x:t xml:space="preserve">Lê Đăng Sơn</x:t>
        </x:is>
      </x:c>
      <x:c r="G42" s="3" t="n">
        <x:v>7</x:v>
      </x:c>
      <x:c r="H42" s="3" t="n">
        <x:v>8</x:v>
      </x:c>
      <x:c r="I42" s="3" t="n">
        <x:v>8</x:v>
      </x:c>
      <x:c r="J42" s="3" t="inlineStr">
        <x:is>
          <x:t xml:space="preserve">P0</x:t>
        </x:is>
      </x:c>
      <x:c r="K42" s="3" t="inlineStr">
        <x:is>
          <x:t xml:space="preserve">C01,R03,S02,A02</x:t>
        </x:is>
      </x:c>
      <x:c r="L42" s="3" t="inlineStr">
        <x:is>
          <x:t xml:space="preserve">Backend hardening</x:t>
        </x:is>
      </x:c>
      <x:c r="M42" s="3" t="inlineStr">
        <x:is>
          <x:t xml:space="preserve">OAuth security tests pass; lỗi không lộ chi tiết nội bộ</x:t>
        </x:is>
      </x:c>
      <x:c r="N42" s="3" t="inlineStr">
        <x:is>
          <x:t xml:space="preserve">Chưa bắt đầu</x:t>
        </x:is>
      </x:c>
      <x:c r="O42" s="8" t="n">
        <x:v>0</x:v>
      </x:c>
    </x:row>
    <x:row r="43">
      <x:c r="A43" s="3" t="inlineStr">
        <x:is>
          <x:t xml:space="preserve">H03</x:t>
        </x:is>
      </x:c>
      <x:c r="B43" s="3" t="inlineStr">
        <x:is>
          <x:t xml:space="preserve">Hoàn thiện</x:t>
        </x:is>
      </x:c>
      <x:c r="C43" s="3" t="inlineStr">
        <x:is>
          <x:t xml:space="preserve">AI</x:t>
        </x:is>
      </x:c>
      <x:c r="D43" s="3" t="inlineStr">
        <x:is>
          <x:t xml:space="preserve">Tạo bộ dữ liệu đánh giá và benchmark relevance/latency</x:t>
        </x:is>
      </x:c>
      <x:c r="E43" s="3" t="inlineStr">
        <x:is>
          <x:t xml:space="preserve">Mai Đức Vinh</x:t>
        </x:is>
      </x:c>
      <x:c r="F43" s="3" t="inlineStr">
        <x:is>
          <x:t xml:space="preserve">Trần Thùy Dương</x:t>
        </x:is>
      </x:c>
      <x:c r="G43" s="3" t="n">
        <x:v>7</x:v>
      </x:c>
      <x:c r="H43" s="3" t="n">
        <x:v>8</x:v>
      </x:c>
      <x:c r="I43" s="3" t="n">
        <x:v>8</x:v>
      </x:c>
      <x:c r="J43" s="3" t="inlineStr">
        <x:is>
          <x:t xml:space="preserve">P0</x:t>
        </x:is>
      </x:c>
      <x:c r="K43" s="3" t="inlineStr">
        <x:is>
          <x:t xml:space="preserve">R01,R02,S03</x:t>
        </x:is>
      </x:c>
      <x:c r="L43" s="3" t="inlineStr">
        <x:is>
          <x:t xml:space="preserve">Evaluation report</x:t>
        </x:is>
      </x:c>
      <x:c r="M43" s="3" t="inlineStr">
        <x:is>
          <x:t xml:space="preserve">Có Recall@k/nDCG hoặc tiêu chí tương đương và ngưỡng chấp nhận</x:t>
        </x:is>
      </x:c>
      <x:c r="N43" s="3" t="inlineStr">
        <x:is>
          <x:t xml:space="preserve">Chưa bắt đầu</x:t>
        </x:is>
      </x:c>
      <x:c r="O43" s="8" t="n">
        <x:v>0</x:v>
      </x:c>
    </x:row>
    <x:row r="44">
      <x:c r="A44" s="3" t="inlineStr">
        <x:is>
          <x:t xml:space="preserve">H04</x:t>
        </x:is>
      </x:c>
      <x:c r="B44" s="3" t="inlineStr">
        <x:is>
          <x:t xml:space="preserve">Hoàn thiện</x:t>
        </x:is>
      </x:c>
      <x:c r="C44" s="3" t="inlineStr">
        <x:is>
          <x:t xml:space="preserve">AI/Deploy</x:t>
        </x:is>
      </x:c>
      <x:c r="D44" s="3" t="inlineStr">
        <x:is>
          <x:t xml:space="preserve">Cấu hình self-host/Dify, health/fallback và tài liệu vận hành</x:t>
        </x:is>
      </x:c>
      <x:c r="E44" s="3" t="inlineStr">
        <x:is>
          <x:t xml:space="preserve">Mai Đức Vinh</x:t>
        </x:is>
      </x:c>
      <x:c r="F44" s="3" t="inlineStr">
        <x:is>
          <x:t xml:space="preserve">Trịnh Mạnh Quang</x:t>
        </x:is>
      </x:c>
      <x:c r="G44" s="3" t="n">
        <x:v>7</x:v>
      </x:c>
      <x:c r="H44" s="3" t="n">
        <x:v>8</x:v>
      </x:c>
      <x:c r="I44" s="3" t="n">
        <x:v>8</x:v>
      </x:c>
      <x:c r="J44" s="3" t="inlineStr">
        <x:is>
          <x:t xml:space="preserve">P1</x:t>
        </x:is>
      </x:c>
      <x:c r="K44" s="3" t="inlineStr">
        <x:is>
          <x:t xml:space="preserve">P03,P07</x:t>
        </x:is>
      </x:c>
      <x:c r="L44" s="3" t="inlineStr">
        <x:is>
          <x:t xml:space="preserve">AI deployment guide</x:t>
        </x:is>
      </x:c>
      <x:c r="M44" s="3" t="inlineStr">
        <x:is>
          <x:t xml:space="preserve">Một cấu hình demo chạy được; provider lỗi có cảnh báo</x:t>
        </x:is>
      </x:c>
      <x:c r="N44" s="3" t="inlineStr">
        <x:is>
          <x:t xml:space="preserve">Chưa bắt đầu</x:t>
        </x:is>
      </x:c>
      <x:c r="O44" s="8" t="n">
        <x:v>0</x:v>
      </x:c>
    </x:row>
    <x:row r="45">
      <x:c r="A45" s="3" t="inlineStr">
        <x:is>
          <x:t xml:space="preserve">H05</x:t>
        </x:is>
      </x:c>
      <x:c r="B45" s="3" t="inlineStr">
        <x:is>
          <x:t xml:space="preserve">Hoàn thiện</x:t>
        </x:is>
      </x:c>
      <x:c r="C45" s="3" t="inlineStr">
        <x:is>
          <x:t xml:space="preserve">QA</x:t>
        </x:is>
      </x:c>
      <x:c r="D45" s="3" t="inlineStr">
        <x:is>
          <x:t xml:space="preserve">Regression E2E, usability, accessibility và kiểm thử demo</x:t>
        </x:is>
      </x:c>
      <x:c r="E45" s="3" t="inlineStr">
        <x:is>
          <x:t xml:space="preserve">Trần Thùy Dương</x:t>
        </x:is>
      </x:c>
      <x:c r="F45" s="3" t="inlineStr">
        <x:is>
          <x:t xml:space="preserve">Lê Đăng Sơn</x:t>
        </x:is>
      </x:c>
      <x:c r="G45" s="3" t="n">
        <x:v>8</x:v>
      </x:c>
      <x:c r="H45" s="3" t="n">
        <x:v>8</x:v>
      </x:c>
      <x:c r="I45" s="3" t="n">
        <x:v>10</x:v>
      </x:c>
      <x:c r="J45" s="3" t="inlineStr">
        <x:is>
          <x:t xml:space="preserve">P0</x:t>
        </x:is>
      </x:c>
      <x:c r="K45" s="3" t="inlineStr">
        <x:is>
          <x:t xml:space="preserve">N07,C05,R05,S06,H01,H02</x:t>
        </x:is>
      </x:c>
      <x:c r="L45" s="3" t="inlineStr">
        <x:is>
          <x:t xml:space="preserve">Release test report</x:t>
        </x:is>
      </x:c>
      <x:c r="M45" s="3" t="inlineStr">
        <x:is>
          <x:t xml:space="preserve">Không còn lỗi P0/P1 mở; checklist demo pass</x:t>
        </x:is>
      </x:c>
      <x:c r="N45" s="3" t="inlineStr">
        <x:is>
          <x:t xml:space="preserve">Chưa bắt đầu</x:t>
        </x:is>
      </x:c>
      <x:c r="O45" s="8" t="n">
        <x:v>0</x:v>
      </x:c>
    </x:row>
    <x:row r="46">
      <x:c r="A46" s="3" t="inlineStr">
        <x:is>
          <x:t xml:space="preserve">H06</x:t>
        </x:is>
      </x:c>
      <x:c r="B46" s="3" t="inlineStr">
        <x:is>
          <x:t xml:space="preserve">Hoàn thiện</x:t>
        </x:is>
      </x:c>
      <x:c r="C46" s="3" t="inlineStr">
        <x:is>
          <x:t xml:space="preserve">Tích hợp</x:t>
        </x:is>
      </x:c>
      <x:c r="D46" s="3" t="inlineStr">
        <x:is>
          <x:t xml:space="preserve">Tối ưu hiệu năng, retry/telemetry và sửa lỗi tích hợp extension</x:t>
        </x:is>
      </x:c>
      <x:c r="E46" s="3" t="inlineStr">
        <x:is>
          <x:t xml:space="preserve">Lê Đăng Sơn</x:t>
        </x:is>
      </x:c>
      <x:c r="F46" s="3" t="inlineStr">
        <x:is>
          <x:t xml:space="preserve">Trần Thùy Dương</x:t>
        </x:is>
      </x:c>
      <x:c r="G46" s="3" t="n">
        <x:v>8</x:v>
      </x:c>
      <x:c r="H46" s="3" t="n">
        <x:v>8</x:v>
      </x:c>
      <x:c r="I46" s="3" t="n">
        <x:v>8</x:v>
      </x:c>
      <x:c r="J46" s="3" t="inlineStr">
        <x:is>
          <x:t xml:space="preserve">P0</x:t>
        </x:is>
      </x:c>
      <x:c r="K46" s="3" t="inlineStr">
        <x:is>
          <x:t xml:space="preserve">R04,S04,H01</x:t>
        </x:is>
      </x:c>
      <x:c r="L46" s="3" t="inlineStr">
        <x:is>
          <x:t xml:space="preserve">Release candidate extension</x:t>
        </x:is>
      </x:c>
      <x:c r="M46" s="3" t="inlineStr">
        <x:is>
          <x:t xml:space="preserve">Build sạch; luồng P0 ổn định; lỗi có log không chứa dữ liệu nhạy cảm</x:t>
        </x:is>
      </x:c>
      <x:c r="N46" s="3" t="inlineStr">
        <x:is>
          <x:t xml:space="preserve">Chưa bắt đầu</x:t>
        </x:is>
      </x:c>
      <x:c r="O46" s="8" t="n">
        <x:v>0</x:v>
      </x:c>
    </x:row>
    <x:row r="47">
      <x:c r="A47" s="3" t="inlineStr">
        <x:is>
          <x:t xml:space="preserve">H07</x:t>
        </x:is>
      </x:c>
      <x:c r="B47" s="3" t="inlineStr">
        <x:is>
          <x:t xml:space="preserve">Hoàn thiện</x:t>
        </x:is>
      </x:c>
      <x:c r="C47" s="3" t="inlineStr">
        <x:is>
          <x:t xml:space="preserve">Tích hợp</x:t>
        </x:is>
      </x:c>
      <x:c r="D47" s="3" t="inlineStr">
        <x:is>
          <x:t xml:space="preserve">Đóng gói backend, migration, cấu hình demo và sửa lỗi tích hợp</x:t>
        </x:is>
      </x:c>
      <x:c r="E47" s="3" t="inlineStr">
        <x:is>
          <x:t xml:space="preserve">Trịnh Mạnh Quang</x:t>
        </x:is>
      </x:c>
      <x:c r="F47" s="3" t="inlineStr">
        <x:is>
          <x:t xml:space="preserve">Mai Đức Vinh</x:t>
        </x:is>
      </x:c>
      <x:c r="G47" s="3" t="n">
        <x:v>8</x:v>
      </x:c>
      <x:c r="H47" s="3" t="n">
        <x:v>8</x:v>
      </x:c>
      <x:c r="I47" s="3" t="n">
        <x:v>8</x:v>
      </x:c>
      <x:c r="J47" s="3" t="inlineStr">
        <x:is>
          <x:t xml:space="preserve">P0</x:t>
        </x:is>
      </x:c>
      <x:c r="K47" s="3" t="inlineStr">
        <x:is>
          <x:t xml:space="preserve">H02,H04</x:t>
        </x:is>
      </x:c>
      <x:c r="L47" s="3" t="inlineStr">
        <x:is>
          <x:t xml:space="preserve">Release candidate server</x:t>
        </x:is>
      </x:c>
      <x:c r="M47" s="3" t="inlineStr">
        <x:is>
          <x:t xml:space="preserve">Deploy mới từ hướng dẫn; migration và smoke test pass</x:t>
        </x:is>
      </x:c>
      <x:c r="N47" s="3" t="inlineStr">
        <x:is>
          <x:t xml:space="preserve">Chưa bắt đầu</x:t>
        </x:is>
      </x:c>
      <x:c r="O47" s="8" t="n">
        <x:v>0</x:v>
      </x:c>
    </x:row>
    <x:row r="48">
      <x:c r="A48" s="3" t="inlineStr">
        <x:is>
          <x:t xml:space="preserve">H08</x:t>
        </x:is>
      </x:c>
      <x:c r="B48" s="3" t="inlineStr">
        <x:is>
          <x:t xml:space="preserve">Hoàn thiện</x:t>
        </x:is>
      </x:c>
      <x:c r="C48" s="3" t="inlineStr">
        <x:is>
          <x:t xml:space="preserve">Tài liệu</x:t>
        </x:is>
      </x:c>
      <x:c r="D48" s="3" t="inlineStr">
        <x:is>
          <x:t xml:space="preserve">Hoàn thiện báo cáo, hướng dẫn người dùng và kịch bản thuyết trình</x:t>
        </x:is>
      </x:c>
      <x:c r="E48" s="3" t="inlineStr">
        <x:is>
          <x:t xml:space="preserve">Trần Thùy Dương</x:t>
        </x:is>
      </x:c>
      <x:c r="F48" s="3" t="inlineStr">
        <x:is>
          <x:t xml:space="preserve">Lê Đăng Sơn</x:t>
        </x:is>
      </x:c>
      <x:c r="G48" s="3" t="n">
        <x:v>8</x:v>
      </x:c>
      <x:c r="H48" s="3" t="n">
        <x:v>8</x:v>
      </x:c>
      <x:c r="I48" s="3" t="n">
        <x:v>8</x:v>
      </x:c>
      <x:c r="J48" s="3" t="inlineStr">
        <x:is>
          <x:t xml:space="preserve">P0</x:t>
        </x:is>
      </x:c>
      <x:c r="K48" s="3" t="inlineStr">
        <x:is>
          <x:t xml:space="preserve">H03,H05,H06,H07</x:t>
        </x:is>
      </x:c>
      <x:c r="L48" s="3" t="inlineStr">
        <x:is>
          <x:t xml:space="preserve">Report + user guide + demo script</x:t>
        </x:is>
      </x:c>
      <x:c r="M48" s="3" t="inlineStr">
        <x:is>
          <x:t xml:space="preserve">Tài liệu khớp sản phẩm; demo 10–15 phút chạy được</x:t>
        </x:is>
      </x:c>
      <x:c r="N48" s="3" t="inlineStr">
        <x:is>
          <x:t xml:space="preserve">Chưa bắt đầu</x:t>
        </x:is>
      </x:c>
      <x:c r="O48" s="8" t="n">
        <x:v>0</x:v>
      </x:c>
    </x:row>
  </x:sheetData>
  <x:mergeCells>
    <x:mergeCell ref="A1:O1"/>
  </x:mergeCells>
  <x:conditionalFormatting sqref="O4:O48">
    <x:cfRule type="colorScale" priority="1">
      <x:colorScale>
        <x:cfvo type="num" val="0"/>
        <x:cfvo type="num" val="0.5"/>
        <x:cfvo type="num" val="1"/>
        <x:color rgb="00F8696B"/>
        <x:color rgb="00FFEB84"/>
        <x:color rgb="0063BE7B"/>
      </x:colorScale>
    </x:cfRule>
  </x:conditionalFormatting>
  <x:conditionalFormatting sqref="N4:N48">
    <x:cfRule type="expression" dxfId="0" priority="2">
      <x:formula>$N4="Bị chặn"</x:formula>
    </x:cfRule>
  </x:conditionalFormatting>
  <x:dataValidations count="2">
    <x:dataValidation type="list" allowBlank="0" showDropDown="0" showInputMessage="0" showErrorMessage="0" sqref="N4:N48">
      <x:formula1>"Chưa bắt đầu,Đang thực hiện,Đã hoàn thành"</x:formula1>
    </x:dataValidation>
    <x:dataValidation type="decimal" operator="between" allowBlank="0" showDropDown="0" showInputMessage="0" showErrorMessage="0" sqref="O4:O48">
      <x:formula1>0</x:formula1>
      <x:formula2>1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5" ySplit="3" topLeftCell="F4" activePane="bottomRight" state="frozen"/>
    </x:sheetView>
  </x:sheetViews>
  <x:sheetFormatPr baseColWidth="8" defaultRowHeight="15"/>
  <x:cols>
    <x:col min="1" max="1" width="9" customWidth="1"/>
    <x:col min="2" max="2" width="52" customWidth="1"/>
    <x:col min="3" max="3" width="22" customWidth="1"/>
    <x:col min="4" max="4" width="10" customWidth="1"/>
    <x:col min="5" max="5" width="8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  <x:col min="13" max="13" width="11" customWidth="1"/>
  </x:cols>
  <x:sheetData>
    <x:row r="1" ht="30" customHeight="1">
      <x:c r="A1" s="1" t="inlineStr">
        <x:is>
          <x:t xml:space="preserve">TIMELINE 8 TUẦN</x:t>
        </x:is>
      </x:c>
    </x:row>
    <x:row r="2"/>
    <x:row r="3">
      <x:c r="A3" s="7" t="inlineStr">
        <x:is>
          <x:t xml:space="preserve">ID</x:t>
        </x:is>
      </x:c>
      <x:c r="B3" s="7" t="inlineStr">
        <x:is>
          <x:t xml:space="preserve">Task</x:t>
        </x:is>
      </x:c>
      <x:c r="C3" s="7" t="inlineStr">
        <x:is>
          <x:t xml:space="preserve">Owner</x:t>
        </x:is>
      </x:c>
      <x:c r="D3" s="7" t="inlineStr">
        <x:is>
          <x:t xml:space="preserve">Ưu tiên</x:t>
        </x:is>
      </x:c>
      <x:c r="E3" s="7" t="inlineStr">
        <x:is>
          <x:t xml:space="preserve">Giờ</x:t>
        </x:is>
      </x:c>
      <x:c r="F3" s="7" t="inlineStr">
        <x:is>
          <x:t xml:space="preserve">Tuần 1</x:t>
        </x:is>
      </x:c>
      <x:c r="G3" s="7" t="inlineStr">
        <x:is>
          <x:t xml:space="preserve">Tuần 2</x:t>
        </x:is>
      </x:c>
      <x:c r="H3" s="7" t="inlineStr">
        <x:is>
          <x:t xml:space="preserve">Tuần 3</x:t>
        </x:is>
      </x:c>
      <x:c r="I3" s="7" t="inlineStr">
        <x:is>
          <x:t xml:space="preserve">Tuần 4</x:t>
        </x:is>
      </x:c>
      <x:c r="J3" s="7" t="inlineStr">
        <x:is>
          <x:t xml:space="preserve">Tuần 5</x:t>
        </x:is>
      </x:c>
      <x:c r="K3" s="7" t="inlineStr">
        <x:is>
          <x:t xml:space="preserve">Tuần 6</x:t>
        </x:is>
      </x:c>
      <x:c r="L3" s="7" t="inlineStr">
        <x:is>
          <x:t xml:space="preserve">Tuần 7</x:t>
        </x:is>
      </x:c>
      <x:c r="M3" s="7" t="inlineStr">
        <x:is>
          <x:t xml:space="preserve">Tuần 8</x:t>
        </x:is>
      </x:c>
    </x:row>
    <x:row r="4">
      <x:c r="A4" s="9" t="inlineStr">
        <x:is>
          <x:t xml:space="preserve">P01</x:t>
        </x:is>
      </x:c>
      <x:c r="B4" s="10" t="inlineStr">
        <x:is>
          <x:t xml:space="preserve">Chốt kiến trúc, module, luồng dữ liệu và ADR</x:t>
        </x:is>
      </x:c>
      <x:c r="C4" s="9" t="inlineStr">
        <x:is>
          <x:t xml:space="preserve">Lê Đăng Sơn</x:t>
        </x:is>
      </x:c>
      <x:c r="D4" s="9" t="inlineStr">
        <x:is>
          <x:t xml:space="preserve">P0</x:t>
        </x:is>
      </x:c>
      <x:c r="E4" s="9" t="n">
        <x:v>6</x:v>
      </x:c>
      <x:c r="F4" s="11" t="inlineStr">
        <x:is>
          <x:t xml:space="preserve">■</x:t>
        </x:is>
      </x:c>
      <x:c r="G4" s="9" t="n"/>
      <x:c r="H4" s="9" t="n"/>
      <x:c r="I4" s="9" t="n"/>
      <x:c r="J4" s="9" t="n"/>
      <x:c r="K4" s="9" t="n"/>
      <x:c r="L4" s="9" t="n"/>
      <x:c r="M4" s="9" t="n"/>
    </x:row>
    <x:row r="5">
      <x:c r="A5" s="9" t="inlineStr">
        <x:is>
          <x:t xml:space="preserve">P02</x:t>
        </x:is>
      </x:c>
      <x:c r="B5" s="10" t="inlineStr">
        <x:is>
          <x:t xml:space="preserve">Chuẩn hoá endpoint, Google OAuth callback/session và data contract; xử lý xung đột /notes/quick, /notes, /notes/ragged</x:t>
        </x:is>
      </x:c>
      <x:c r="C5" s="9" t="inlineStr">
        <x:is>
          <x:t xml:space="preserve">Trịnh Mạnh Quang</x:t>
        </x:is>
      </x:c>
      <x:c r="D5" s="9" t="inlineStr">
        <x:is>
          <x:t xml:space="preserve">P0</x:t>
        </x:is>
      </x:c>
      <x:c r="E5" s="9" t="n">
        <x:v>8</x:v>
      </x:c>
      <x:c r="F5" s="12" t="inlineStr">
        <x:is>
          <x:t xml:space="preserve">■</x:t>
        </x:is>
      </x:c>
      <x:c r="G5" s="9" t="n"/>
      <x:c r="H5" s="9" t="n"/>
      <x:c r="I5" s="9" t="n"/>
      <x:c r="J5" s="9" t="n"/>
      <x:c r="K5" s="9" t="n"/>
      <x:c r="L5" s="9" t="n"/>
      <x:c r="M5" s="9" t="n"/>
    </x:row>
    <x:row r="6">
      <x:c r="A6" s="9" t="inlineStr">
        <x:is>
          <x:t xml:space="preserve">P03</x:t>
        </x:is>
      </x:c>
      <x:c r="B6" s="10" t="inlineStr">
        <x:is>
          <x:t xml:space="preserve">Spike lựa chọn AI Provider: Dify hay service riêng; đo khả năng chunk/embed/rerank</x:t>
        </x:is>
      </x:c>
      <x:c r="C6" s="9" t="inlineStr">
        <x:is>
          <x:t xml:space="preserve">Mai Đức Vinh</x:t>
        </x:is>
      </x:c>
      <x:c r="D6" s="9" t="inlineStr">
        <x:is>
          <x:t xml:space="preserve">P0</x:t>
        </x:is>
      </x:c>
      <x:c r="E6" s="9" t="n">
        <x:v>8</x:v>
      </x:c>
      <x:c r="F6" s="13" t="inlineStr">
        <x:is>
          <x:t xml:space="preserve">■</x:t>
        </x:is>
      </x:c>
      <x:c r="G6" s="9" t="n"/>
      <x:c r="H6" s="9" t="n"/>
      <x:c r="I6" s="9" t="n"/>
      <x:c r="J6" s="9" t="n"/>
      <x:c r="K6" s="9" t="n"/>
      <x:c r="L6" s="9" t="n"/>
      <x:c r="M6" s="9" t="n"/>
    </x:row>
    <x:row r="7">
      <x:c r="A7" s="9" t="inlineStr">
        <x:is>
          <x:t xml:space="preserve">P04</x:t>
        </x:is>
      </x:c>
      <x:c r="B7" s="10" t="inlineStr">
        <x:is>
          <x:t xml:space="preserve">Vẽ user flow và wireframe cho 5 chức năng trong kịch bản</x:t>
        </x:is>
      </x:c>
      <x:c r="C7" s="9" t="inlineStr">
        <x:is>
          <x:t xml:space="preserve">Trần Thùy Dương</x:t>
        </x:is>
      </x:c>
      <x:c r="D7" s="9" t="inlineStr">
        <x:is>
          <x:t xml:space="preserve">P0</x:t>
        </x:is>
      </x:c>
      <x:c r="E7" s="9" t="n">
        <x:v>8</x:v>
      </x:c>
      <x:c r="F7" s="14" t="inlineStr">
        <x:is>
          <x:t xml:space="preserve">■</x:t>
        </x:is>
      </x:c>
      <x:c r="G7" s="9" t="n"/>
      <x:c r="H7" s="9" t="n"/>
      <x:c r="I7" s="9" t="n"/>
      <x:c r="J7" s="9" t="n"/>
      <x:c r="K7" s="9" t="n"/>
      <x:c r="L7" s="9" t="n"/>
      <x:c r="M7" s="9" t="n"/>
    </x:row>
    <x:row r="8">
      <x:c r="A8" s="9" t="inlineStr">
        <x:is>
          <x:t xml:space="preserve">P05</x:t>
        </x:is>
      </x:c>
      <x:c r="B8" s="10" t="inlineStr">
        <x:is>
          <x:t xml:space="preserve">Khởi tạo TypeScript + Manifest V3, build/lint/test và cấu trúc module</x:t>
        </x:is>
      </x:c>
      <x:c r="C8" s="9" t="inlineStr">
        <x:is>
          <x:t xml:space="preserve">Lê Đăng Sơn</x:t>
        </x:is>
      </x:c>
      <x:c r="D8" s="9" t="inlineStr">
        <x:is>
          <x:t xml:space="preserve">P0</x:t>
        </x:is>
      </x:c>
      <x:c r="E8" s="9" t="n">
        <x:v>8</x:v>
      </x:c>
      <x:c r="F8" s="11" t="inlineStr">
        <x:is>
          <x:t xml:space="preserve">■</x:t>
        </x:is>
      </x:c>
      <x:c r="G8" s="11" t="inlineStr">
        <x:is>
          <x:t xml:space="preserve">■</x:t>
        </x:is>
      </x:c>
      <x:c r="H8" s="9" t="n"/>
      <x:c r="I8" s="9" t="n"/>
      <x:c r="J8" s="9" t="n"/>
      <x:c r="K8" s="9" t="n"/>
      <x:c r="L8" s="9" t="n"/>
      <x:c r="M8" s="9" t="n"/>
    </x:row>
    <x:row r="9">
      <x:c r="A9" s="9" t="inlineStr">
        <x:is>
          <x:t xml:space="preserve">P06</x:t>
        </x:is>
      </x:c>
      <x:c r="B9" s="10" t="inlineStr">
        <x:is>
          <x:t xml:space="preserve">Khởi tạo Python API, cấu hình môi trường, health check và test framework</x:t>
        </x:is>
      </x:c>
      <x:c r="C9" s="9" t="inlineStr">
        <x:is>
          <x:t xml:space="preserve">Trịnh Mạnh Quang</x:t>
        </x:is>
      </x:c>
      <x:c r="D9" s="9" t="inlineStr">
        <x:is>
          <x:t xml:space="preserve">P0</x:t>
        </x:is>
      </x:c>
      <x:c r="E9" s="9" t="n">
        <x:v>8</x:v>
      </x:c>
      <x:c r="F9" s="12" t="inlineStr">
        <x:is>
          <x:t xml:space="preserve">■</x:t>
        </x:is>
      </x:c>
      <x:c r="G9" s="12" t="inlineStr">
        <x:is>
          <x:t xml:space="preserve">■</x:t>
        </x:is>
      </x:c>
      <x:c r="H9" s="9" t="n"/>
      <x:c r="I9" s="9" t="n"/>
      <x:c r="J9" s="9" t="n"/>
      <x:c r="K9" s="9" t="n"/>
      <x:c r="L9" s="9" t="n"/>
      <x:c r="M9" s="9" t="n"/>
    </x:row>
    <x:row r="10">
      <x:c r="A10" s="9" t="inlineStr">
        <x:is>
          <x:t xml:space="preserve">P07</x:t>
        </x:is>
      </x:c>
      <x:c r="B10" s="10" t="inlineStr">
        <x:is>
          <x:t xml:space="preserve">Khởi tạo AI service/adapter cho local provider và mock provider</x:t>
        </x:is>
      </x:c>
      <x:c r="C10" s="9" t="inlineStr">
        <x:is>
          <x:t xml:space="preserve">Mai Đức Vinh</x:t>
        </x:is>
      </x:c>
      <x:c r="D10" s="9" t="inlineStr">
        <x:is>
          <x:t xml:space="preserve">P0</x:t>
        </x:is>
      </x:c>
      <x:c r="E10" s="9" t="n">
        <x:v>8</x:v>
      </x:c>
      <x:c r="F10" s="13" t="inlineStr">
        <x:is>
          <x:t xml:space="preserve">■</x:t>
        </x:is>
      </x:c>
      <x:c r="G10" s="13" t="inlineStr">
        <x:is>
          <x:t xml:space="preserve">■</x:t>
        </x:is>
      </x:c>
      <x:c r="H10" s="9" t="n"/>
      <x:c r="I10" s="9" t="n"/>
      <x:c r="J10" s="9" t="n"/>
      <x:c r="K10" s="9" t="n"/>
      <x:c r="L10" s="9" t="n"/>
      <x:c r="M10" s="9" t="n"/>
    </x:row>
    <x:row r="11">
      <x:c r="A11" s="9" t="inlineStr">
        <x:is>
          <x:t xml:space="preserve">P08</x:t>
        </x:is>
      </x:c>
      <x:c r="B11" s="10" t="inlineStr">
        <x:is>
          <x:t xml:space="preserve">Lập test strategy, traceability matrix từ kịch bản và Definition of Done</x:t>
        </x:is>
      </x:c>
      <x:c r="C11" s="9" t="inlineStr">
        <x:is>
          <x:t xml:space="preserve">Trần Thùy Dương</x:t>
        </x:is>
      </x:c>
      <x:c r="D11" s="9" t="inlineStr">
        <x:is>
          <x:t xml:space="preserve">P0</x:t>
        </x:is>
      </x:c>
      <x:c r="E11" s="9" t="n">
        <x:v>6</x:v>
      </x:c>
      <x:c r="F11" s="14" t="inlineStr">
        <x:is>
          <x:t xml:space="preserve">■</x:t>
        </x:is>
      </x:c>
      <x:c r="G11" s="14" t="inlineStr">
        <x:is>
          <x:t xml:space="preserve">■</x:t>
        </x:is>
      </x:c>
      <x:c r="H11" s="9" t="n"/>
      <x:c r="I11" s="9" t="n"/>
      <x:c r="J11" s="9" t="n"/>
      <x:c r="K11" s="9" t="n"/>
      <x:c r="L11" s="9" t="n"/>
      <x:c r="M11" s="9" t="n"/>
    </x:row>
    <x:row r="12">
      <x:c r="A12" s="9" t="inlineStr">
        <x:is>
          <x:t xml:space="preserve">A01</x:t>
        </x:is>
      </x:c>
      <x:c r="B12" s="10" t="inlineStr">
        <x:is>
          <x:t xml:space="preserve">Thiết kế schema user/note/chunk/category/quota và migration</x:t>
        </x:is>
      </x:c>
      <x:c r="C12" s="9" t="inlineStr">
        <x:is>
          <x:t xml:space="preserve">Trịnh Mạnh Quang</x:t>
        </x:is>
      </x:c>
      <x:c r="D12" s="9" t="inlineStr">
        <x:is>
          <x:t xml:space="preserve">P0</x:t>
        </x:is>
      </x:c>
      <x:c r="E12" s="9" t="n">
        <x:v>8</x:v>
      </x:c>
      <x:c r="F12" s="9" t="n"/>
      <x:c r="G12" s="12" t="inlineStr">
        <x:is>
          <x:t xml:space="preserve">■</x:t>
        </x:is>
      </x:c>
      <x:c r="H12" s="9" t="n"/>
      <x:c r="I12" s="9" t="n"/>
      <x:c r="J12" s="9" t="n"/>
      <x:c r="K12" s="9" t="n"/>
      <x:c r="L12" s="9" t="n"/>
      <x:c r="M12" s="9" t="n"/>
    </x:row>
    <x:row r="13">
      <x:c r="A13" s="9" t="inlineStr">
        <x:is>
          <x:t xml:space="preserve">A02</x:t>
        </x:is>
      </x:c>
      <x:c r="B13" s="10" t="inlineStr">
        <x:is>
          <x:t xml:space="preserve">Xây Google OAuth 2.0 Authorization Code + PKCE: callback, verify ID token và phát hành app session</x:t>
        </x:is>
      </x:c>
      <x:c r="C13" s="9" t="inlineStr">
        <x:is>
          <x:t xml:space="preserve">Trịnh Mạnh Quang</x:t>
        </x:is>
      </x:c>
      <x:c r="D13" s="9" t="inlineStr">
        <x:is>
          <x:t xml:space="preserve">P0</x:t>
        </x:is>
      </x:c>
      <x:c r="E13" s="9" t="n">
        <x:v>10</x:v>
      </x:c>
      <x:c r="F13" s="9" t="n"/>
      <x:c r="G13" s="12" t="inlineStr">
        <x:is>
          <x:t xml:space="preserve">■</x:t>
        </x:is>
      </x:c>
      <x:c r="H13" s="12" t="inlineStr">
        <x:is>
          <x:t xml:space="preserve">■</x:t>
        </x:is>
      </x:c>
      <x:c r="I13" s="9" t="n"/>
      <x:c r="J13" s="9" t="n"/>
      <x:c r="K13" s="9" t="n"/>
      <x:c r="L13" s="9" t="n"/>
      <x:c r="M13" s="9" t="n"/>
    </x:row>
    <x:row r="14">
      <x:c r="A14" s="9" t="inlineStr">
        <x:is>
          <x:t xml:space="preserve">A03</x:t>
        </x:is>
      </x:c>
      <x:c r="B14" s="10" t="inlineStr">
        <x:is>
          <x:t xml:space="preserve">Tích hợp Google OAuth trong extension qua browser identity flow/PKCE và quản lý app session</x:t>
        </x:is>
      </x:c>
      <x:c r="C14" s="9" t="inlineStr">
        <x:is>
          <x:t xml:space="preserve">Lê Đăng Sơn</x:t>
        </x:is>
      </x:c>
      <x:c r="D14" s="9" t="inlineStr">
        <x:is>
          <x:t xml:space="preserve">P0</x:t>
        </x:is>
      </x:c>
      <x:c r="E14" s="9" t="n">
        <x:v>8</x:v>
      </x:c>
      <x:c r="F14" s="9" t="n"/>
      <x:c r="G14" s="11" t="inlineStr">
        <x:is>
          <x:t xml:space="preserve">■</x:t>
        </x:is>
      </x:c>
      <x:c r="H14" s="11" t="inlineStr">
        <x:is>
          <x:t xml:space="preserve">■</x:t>
        </x:is>
      </x:c>
      <x:c r="I14" s="9" t="n"/>
      <x:c r="J14" s="9" t="n"/>
      <x:c r="K14" s="9" t="n"/>
      <x:c r="L14" s="9" t="n"/>
      <x:c r="M14" s="9" t="n"/>
    </x:row>
    <x:row r="15">
      <x:c r="A15" s="9" t="inlineStr">
        <x:is>
          <x:t xml:space="preserve">A04</x:t>
        </x:is>
      </x:c>
      <x:c r="B15" s="10" t="inlineStr">
        <x:is>
          <x:t xml:space="preserve">Xây dựng quota middleware và nhật ký tiêu hao AI</x:t>
        </x:is>
      </x:c>
      <x:c r="C15" s="9" t="inlineStr">
        <x:is>
          <x:t xml:space="preserve">Trịnh Mạnh Quang</x:t>
        </x:is>
      </x:c>
      <x:c r="D15" s="9" t="inlineStr">
        <x:is>
          <x:t xml:space="preserve">P0</x:t>
        </x:is>
      </x:c>
      <x:c r="E15" s="9" t="n">
        <x:v>8</x:v>
      </x:c>
      <x:c r="F15" s="9" t="n"/>
      <x:c r="G15" s="9" t="n"/>
      <x:c r="H15" s="12" t="inlineStr">
        <x:is>
          <x:t xml:space="preserve">■</x:t>
        </x:is>
      </x:c>
      <x:c r="I15" s="9" t="n"/>
      <x:c r="J15" s="9" t="n"/>
      <x:c r="K15" s="9" t="n"/>
      <x:c r="L15" s="9" t="n"/>
      <x:c r="M15" s="9" t="n"/>
    </x:row>
    <x:row r="16">
      <x:c r="A16" s="9" t="inlineStr">
        <x:is>
          <x:t xml:space="preserve">A05</x:t>
        </x:is>
      </x:c>
      <x:c r="B16" s="10" t="inlineStr">
        <x:is>
          <x:t xml:space="preserve">Xây design system và app shell: loading/empty/error/toast/modal</x:t>
        </x:is>
      </x:c>
      <x:c r="C16" s="9" t="inlineStr">
        <x:is>
          <x:t xml:space="preserve">Trần Thùy Dương</x:t>
        </x:is>
      </x:c>
      <x:c r="D16" s="9" t="inlineStr">
        <x:is>
          <x:t xml:space="preserve">P0</x:t>
        </x:is>
      </x:c>
      <x:c r="E16" s="9" t="n">
        <x:v>8</x:v>
      </x:c>
      <x:c r="F16" s="9" t="n"/>
      <x:c r="G16" s="14" t="inlineStr">
        <x:is>
          <x:t xml:space="preserve">■</x:t>
        </x:is>
      </x:c>
      <x:c r="H16" s="14" t="inlineStr">
        <x:is>
          <x:t xml:space="preserve">■</x:t>
        </x:is>
      </x:c>
      <x:c r="I16" s="9" t="n"/>
      <x:c r="J16" s="9" t="n"/>
      <x:c r="K16" s="9" t="n"/>
      <x:c r="L16" s="9" t="n"/>
      <x:c r="M16" s="9" t="n"/>
    </x:row>
    <x:row r="17">
      <x:c r="A17" s="9" t="inlineStr">
        <x:is>
          <x:t xml:space="preserve">N01</x:t>
        </x:is>
      </x:c>
      <x:c r="B17" s="10" t="inlineStr">
        <x:is>
          <x:t xml:space="preserve">Bắt selection, context menu và phím Ctrl-Alt-N</x:t>
        </x:is>
      </x:c>
      <x:c r="C17" s="9" t="inlineStr">
        <x:is>
          <x:t xml:space="preserve">Lê Đăng Sơn</x:t>
        </x:is>
      </x:c>
      <x:c r="D17" s="9" t="inlineStr">
        <x:is>
          <x:t xml:space="preserve">P0</x:t>
        </x:is>
      </x:c>
      <x:c r="E17" s="9" t="n">
        <x:v>8</x:v>
      </x:c>
      <x:c r="F17" s="9" t="n"/>
      <x:c r="G17" s="9" t="n"/>
      <x:c r="H17" s="11" t="inlineStr">
        <x:is>
          <x:t xml:space="preserve">■</x:t>
        </x:is>
      </x:c>
      <x:c r="I17" s="9" t="n"/>
      <x:c r="J17" s="9" t="n"/>
      <x:c r="K17" s="9" t="n"/>
      <x:c r="L17" s="9" t="n"/>
      <x:c r="M17" s="9" t="n"/>
    </x:row>
    <x:row r="18">
      <x:c r="A18" s="9" t="inlineStr">
        <x:is>
          <x:t xml:space="preserve">N02</x:t>
        </x:is>
      </x:c>
      <x:c r="B18" s="10" t="inlineStr">
        <x:is>
          <x:t xml:space="preserve">Popup snippet, đếm ngược 5 giây và hoàn tác Ctrl-Alt-Z</x:t>
        </x:is>
      </x:c>
      <x:c r="C18" s="9" t="inlineStr">
        <x:is>
          <x:t xml:space="preserve">Trần Thùy Dương</x:t>
        </x:is>
      </x:c>
      <x:c r="D18" s="9" t="inlineStr">
        <x:is>
          <x:t xml:space="preserve">P0</x:t>
        </x:is>
      </x:c>
      <x:c r="E18" s="9" t="n">
        <x:v>8</x:v>
      </x:c>
      <x:c r="F18" s="9" t="n"/>
      <x:c r="G18" s="9" t="n"/>
      <x:c r="H18" s="14" t="inlineStr">
        <x:is>
          <x:t xml:space="preserve">■</x:t>
        </x:is>
      </x:c>
      <x:c r="I18" s="14" t="inlineStr">
        <x:is>
          <x:t xml:space="preserve">■</x:t>
        </x:is>
      </x:c>
      <x:c r="J18" s="9" t="n"/>
      <x:c r="K18" s="9" t="n"/>
      <x:c r="L18" s="9" t="n"/>
      <x:c r="M18" s="9" t="n"/>
    </x:row>
    <x:row r="19">
      <x:c r="A19" s="9" t="inlineStr">
        <x:is>
          <x:t xml:space="preserve">N03</x:t>
        </x:is>
      </x:c>
      <x:c r="B19" s="10" t="inlineStr">
        <x:is>
          <x:t xml:space="preserve">Cài API tạo note nhanh, xác thực ownership và lưu PostgreSQL</x:t>
        </x:is>
      </x:c>
      <x:c r="C19" s="9" t="inlineStr">
        <x:is>
          <x:t xml:space="preserve">Trịnh Mạnh Quang</x:t>
        </x:is>
      </x:c>
      <x:c r="D19" s="9" t="inlineStr">
        <x:is>
          <x:t xml:space="preserve">P0</x:t>
        </x:is>
      </x:c>
      <x:c r="E19" s="9" t="n">
        <x:v>10</x:v>
      </x:c>
      <x:c r="F19" s="9" t="n"/>
      <x:c r="G19" s="9" t="n"/>
      <x:c r="H19" s="12" t="inlineStr">
        <x:is>
          <x:t xml:space="preserve">■</x:t>
        </x:is>
      </x:c>
      <x:c r="I19" s="12" t="inlineStr">
        <x:is>
          <x:t xml:space="preserve">■</x:t>
        </x:is>
      </x:c>
      <x:c r="J19" s="9" t="n"/>
      <x:c r="K19" s="9" t="n"/>
      <x:c r="L19" s="9" t="n"/>
      <x:c r="M19" s="9" t="n"/>
    </x:row>
    <x:row r="20">
      <x:c r="A20" s="9" t="inlineStr">
        <x:is>
          <x:t xml:space="preserve">N04</x:t>
        </x:is>
      </x:c>
      <x:c r="B20" s="10" t="inlineStr">
        <x:is>
          <x:t xml:space="preserve">Cài semantic chunking + embedding, định danh chunk UUID</x:t>
        </x:is>
      </x:c>
      <x:c r="C20" s="9" t="inlineStr">
        <x:is>
          <x:t xml:space="preserve">Mai Đức Vinh</x:t>
        </x:is>
      </x:c>
      <x:c r="D20" s="9" t="inlineStr">
        <x:is>
          <x:t xml:space="preserve">P0</x:t>
        </x:is>
      </x:c>
      <x:c r="E20" s="9" t="n">
        <x:v>10</x:v>
      </x:c>
      <x:c r="F20" s="9" t="n"/>
      <x:c r="G20" s="9" t="n"/>
      <x:c r="H20" s="13" t="inlineStr">
        <x:is>
          <x:t xml:space="preserve">■</x:t>
        </x:is>
      </x:c>
      <x:c r="I20" s="13" t="inlineStr">
        <x:is>
          <x:t xml:space="preserve">■</x:t>
        </x:is>
      </x:c>
      <x:c r="J20" s="9" t="n"/>
      <x:c r="K20" s="9" t="n"/>
      <x:c r="L20" s="9" t="n"/>
      <x:c r="M20" s="9" t="n"/>
    </x:row>
    <x:row r="21">
      <x:c r="A21" s="9" t="inlineStr">
        <x:is>
          <x:t xml:space="preserve">N05</x:t>
        </x:is>
      </x:c>
      <x:c r="B21" s="10" t="inlineStr">
        <x:is>
          <x:t xml:space="preserve">Lưu vector pgvector và cập nhật quota sau xử lý</x:t>
        </x:is>
      </x:c>
      <x:c r="C21" s="9" t="inlineStr">
        <x:is>
          <x:t xml:space="preserve">Mai Đức Vinh</x:t>
        </x:is>
      </x:c>
      <x:c r="D21" s="9" t="inlineStr">
        <x:is>
          <x:t xml:space="preserve">P0</x:t>
        </x:is>
      </x:c>
      <x:c r="E21" s="9" t="n">
        <x:v>8</x:v>
      </x:c>
      <x:c r="F21" s="9" t="n"/>
      <x:c r="G21" s="9" t="n"/>
      <x:c r="H21" s="9" t="n"/>
      <x:c r="I21" s="13" t="inlineStr">
        <x:is>
          <x:t xml:space="preserve">■</x:t>
        </x:is>
      </x:c>
      <x:c r="J21" s="9" t="n"/>
      <x:c r="K21" s="9" t="n"/>
      <x:c r="L21" s="9" t="n"/>
      <x:c r="M21" s="9" t="n"/>
    </x:row>
    <x:row r="22">
      <x:c r="A22" s="9" t="inlineStr">
        <x:is>
          <x:t xml:space="preserve">N06</x:t>
        </x:is>
      </x:c>
      <x:c r="B22" s="10" t="inlineStr">
        <x:is>
          <x:t xml:space="preserve">Local state cho hàng chờ, retry và trạng thái note</x:t>
        </x:is>
      </x:c>
      <x:c r="C22" s="9" t="inlineStr">
        <x:is>
          <x:t xml:space="preserve">Lê Đăng Sơn</x:t>
        </x:is>
      </x:c>
      <x:c r="D22" s="9" t="inlineStr">
        <x:is>
          <x:t xml:space="preserve">P0</x:t>
        </x:is>
      </x:c>
      <x:c r="E22" s="9" t="n">
        <x:v>8</x:v>
      </x:c>
      <x:c r="F22" s="9" t="n"/>
      <x:c r="G22" s="9" t="n"/>
      <x:c r="H22" s="9" t="n"/>
      <x:c r="I22" s="11" t="inlineStr">
        <x:is>
          <x:t xml:space="preserve">■</x:t>
        </x:is>
      </x:c>
      <x:c r="J22" s="9" t="n"/>
      <x:c r="K22" s="9" t="n"/>
      <x:c r="L22" s="9" t="n"/>
      <x:c r="M22" s="9" t="n"/>
    </x:row>
    <x:row r="23">
      <x:c r="A23" s="9" t="inlineStr">
        <x:is>
          <x:t xml:space="preserve">N07</x:t>
        </x:is>
      </x:c>
      <x:c r="B23" s="10" t="inlineStr">
        <x:is>
          <x:t xml:space="preserve">Kiểm thử E2E ghi chú nhanh, undo, hết quota và mất mạng</x:t>
        </x:is>
      </x:c>
      <x:c r="C23" s="9" t="inlineStr">
        <x:is>
          <x:t xml:space="preserve">Trần Thùy Dương</x:t>
        </x:is>
      </x:c>
      <x:c r="D23" s="9" t="inlineStr">
        <x:is>
          <x:t xml:space="preserve">P0</x:t>
        </x:is>
      </x:c>
      <x:c r="E23" s="9" t="n">
        <x:v>6</x:v>
      </x:c>
      <x:c r="F23" s="9" t="n"/>
      <x:c r="G23" s="9" t="n"/>
      <x:c r="H23" s="9" t="n"/>
      <x:c r="I23" s="14" t="inlineStr">
        <x:is>
          <x:t xml:space="preserve">■</x:t>
        </x:is>
      </x:c>
      <x:c r="J23" s="9" t="n"/>
      <x:c r="K23" s="9" t="n"/>
      <x:c r="L23" s="9" t="n"/>
      <x:c r="M23" s="9" t="n"/>
    </x:row>
    <x:row r="24">
      <x:c r="A24" s="9" t="inlineStr">
        <x:is>
          <x:t xml:space="preserve">C01</x:t>
        </x:is>
      </x:c>
      <x:c r="B24" s="10" t="inlineStr">
        <x:is>
          <x:t xml:space="preserve">API GET/PUT/DELETE note, filter metadata/category và bulk delete</x:t>
        </x:is>
      </x:c>
      <x:c r="C24" s="9" t="inlineStr">
        <x:is>
          <x:t xml:space="preserve">Trịnh Mạnh Quang</x:t>
        </x:is>
      </x:c>
      <x:c r="D24" s="9" t="inlineStr">
        <x:is>
          <x:t xml:space="preserve">P0</x:t>
        </x:is>
      </x:c>
      <x:c r="E24" s="9" t="n">
        <x:v>10</x:v>
      </x:c>
      <x:c r="F24" s="9" t="n"/>
      <x:c r="G24" s="9" t="n"/>
      <x:c r="H24" s="9" t="n"/>
      <x:c r="I24" s="12" t="inlineStr">
        <x:is>
          <x:t xml:space="preserve">■</x:t>
        </x:is>
      </x:c>
      <x:c r="J24" s="12" t="inlineStr">
        <x:is>
          <x:t xml:space="preserve">■</x:t>
        </x:is>
      </x:c>
      <x:c r="K24" s="9" t="n"/>
      <x:c r="L24" s="9" t="n"/>
      <x:c r="M24" s="9" t="n"/>
    </x:row>
    <x:row r="25">
      <x:c r="A25" s="9" t="inlineStr">
        <x:is>
          <x:t xml:space="preserve">C02</x:t>
        </x:is>
      </x:c>
      <x:c r="B25" s="10" t="inlineStr">
        <x:is>
          <x:t xml:space="preserve">IndexedDB cache/offline storage và chiến lược sync</x:t>
        </x:is>
      </x:c>
      <x:c r="C25" s="9" t="inlineStr">
        <x:is>
          <x:t xml:space="preserve">Lê Đăng Sơn</x:t>
        </x:is>
      </x:c>
      <x:c r="D25" s="9" t="inlineStr">
        <x:is>
          <x:t xml:space="preserve">P0</x:t>
        </x:is>
      </x:c>
      <x:c r="E25" s="9" t="n">
        <x:v>10</x:v>
      </x:c>
      <x:c r="F25" s="9" t="n"/>
      <x:c r="G25" s="9" t="n"/>
      <x:c r="H25" s="9" t="n"/>
      <x:c r="I25" s="11" t="inlineStr">
        <x:is>
          <x:t xml:space="preserve">■</x:t>
        </x:is>
      </x:c>
      <x:c r="J25" s="11" t="inlineStr">
        <x:is>
          <x:t xml:space="preserve">■</x:t>
        </x:is>
      </x:c>
      <x:c r="K25" s="9" t="n"/>
      <x:c r="L25" s="9" t="n"/>
      <x:c r="M25" s="9" t="n"/>
    </x:row>
    <x:row r="26">
      <x:c r="A26" s="9" t="inlineStr">
        <x:is>
          <x:t xml:space="preserve">C03</x:t>
        </x:is>
      </x:c>
      <x:c r="B26" s="10" t="inlineStr">
        <x:is>
          <x:t xml:space="preserve">Màn hình danh sách/chi tiết/sửa/xoá note và phân mục</x:t>
        </x:is>
      </x:c>
      <x:c r="C26" s="9" t="inlineStr">
        <x:is>
          <x:t xml:space="preserve">Trần Thùy Dương</x:t>
        </x:is>
      </x:c>
      <x:c r="D26" s="9" t="inlineStr">
        <x:is>
          <x:t xml:space="preserve">P0</x:t>
        </x:is>
      </x:c>
      <x:c r="E26" s="9" t="n">
        <x:v>10</x:v>
      </x:c>
      <x:c r="F26" s="9" t="n"/>
      <x:c r="G26" s="9" t="n"/>
      <x:c r="H26" s="9" t="n"/>
      <x:c r="I26" s="14" t="inlineStr">
        <x:is>
          <x:t xml:space="preserve">■</x:t>
        </x:is>
      </x:c>
      <x:c r="J26" s="14" t="inlineStr">
        <x:is>
          <x:t xml:space="preserve">■</x:t>
        </x:is>
      </x:c>
      <x:c r="K26" s="9" t="n"/>
      <x:c r="L26" s="9" t="n"/>
      <x:c r="M26" s="9" t="n"/>
    </x:row>
    <x:row r="27">
      <x:c r="A27" s="9" t="inlineStr">
        <x:is>
          <x:t xml:space="preserve">C04</x:t>
        </x:is>
      </x:c>
      <x:c r="B27" s="10" t="inlineStr">
        <x:is>
          <x:t xml:space="preserve">Tích hợp metadata, category filter và đồng bộ trạng thái UI</x:t>
        </x:is>
      </x:c>
      <x:c r="C27" s="9" t="inlineStr">
        <x:is>
          <x:t xml:space="preserve">Lê Đăng Sơn</x:t>
        </x:is>
      </x:c>
      <x:c r="D27" s="9" t="inlineStr">
        <x:is>
          <x:t xml:space="preserve">P0</x:t>
        </x:is>
      </x:c>
      <x:c r="E27" s="9" t="n">
        <x:v>6</x:v>
      </x:c>
      <x:c r="F27" s="9" t="n"/>
      <x:c r="G27" s="9" t="n"/>
      <x:c r="H27" s="9" t="n"/>
      <x:c r="I27" s="9" t="n"/>
      <x:c r="J27" s="11" t="inlineStr">
        <x:is>
          <x:t xml:space="preserve">■</x:t>
        </x:is>
      </x:c>
      <x:c r="K27" s="9" t="n"/>
      <x:c r="L27" s="9" t="n"/>
      <x:c r="M27" s="9" t="n"/>
    </x:row>
    <x:row r="28">
      <x:c r="A28" s="9" t="inlineStr">
        <x:is>
          <x:t xml:space="preserve">C05</x:t>
        </x:is>
      </x:c>
      <x:c r="B28" s="10" t="inlineStr">
        <x:is>
          <x:t xml:space="preserve">Test CRUD, cache-first, offline, sync conflict và xoá hàng loạt</x:t>
        </x:is>
      </x:c>
      <x:c r="C28" s="9" t="inlineStr">
        <x:is>
          <x:t xml:space="preserve">Trần Thùy Dương</x:t>
        </x:is>
      </x:c>
      <x:c r="D28" s="9" t="inlineStr">
        <x:is>
          <x:t xml:space="preserve">P0</x:t>
        </x:is>
      </x:c>
      <x:c r="E28" s="9" t="n">
        <x:v>6</x:v>
      </x:c>
      <x:c r="F28" s="9" t="n"/>
      <x:c r="G28" s="9" t="n"/>
      <x:c r="H28" s="9" t="n"/>
      <x:c r="I28" s="9" t="n"/>
      <x:c r="J28" s="14" t="inlineStr">
        <x:is>
          <x:t xml:space="preserve">■</x:t>
        </x:is>
      </x:c>
      <x:c r="K28" s="9" t="n"/>
      <x:c r="L28" s="9" t="n"/>
      <x:c r="M28" s="9" t="n"/>
    </x:row>
    <x:row r="29">
      <x:c r="A29" s="9" t="inlineStr">
        <x:is>
          <x:t xml:space="preserve">R01</x:t>
        </x:is>
      </x:c>
      <x:c r="B29" s="10" t="inlineStr">
        <x:is>
          <x:t xml:space="preserve">Xây hybrid retrieval: BM25 + cosine similarity + search pool theo user</x:t>
        </x:is>
      </x:c>
      <x:c r="C29" s="9" t="inlineStr">
        <x:is>
          <x:t xml:space="preserve">Mai Đức Vinh</x:t>
        </x:is>
      </x:c>
      <x:c r="D29" s="9" t="inlineStr">
        <x:is>
          <x:t xml:space="preserve">P0</x:t>
        </x:is>
      </x:c>
      <x:c r="E29" s="9" t="n">
        <x:v>12</x:v>
      </x:c>
      <x:c r="F29" s="9" t="n"/>
      <x:c r="G29" s="9" t="n"/>
      <x:c r="H29" s="9" t="n"/>
      <x:c r="I29" s="13" t="inlineStr">
        <x:is>
          <x:t xml:space="preserve">■</x:t>
        </x:is>
      </x:c>
      <x:c r="J29" s="13" t="inlineStr">
        <x:is>
          <x:t xml:space="preserve">■</x:t>
        </x:is>
      </x:c>
      <x:c r="K29" s="9" t="n"/>
      <x:c r="L29" s="9" t="n"/>
      <x:c r="M29" s="9" t="n"/>
    </x:row>
    <x:row r="30">
      <x:c r="A30" s="9" t="inlineStr">
        <x:is>
          <x:t xml:space="preserve">R02</x:t>
        </x:is>
      </x:c>
      <x:c r="B30" s="10" t="inlineStr">
        <x:is>
          <x:t xml:space="preserve">Tích hợp rerank top-k và fallback khi provider lỗi</x:t>
        </x:is>
      </x:c>
      <x:c r="C30" s="9" t="inlineStr">
        <x:is>
          <x:t xml:space="preserve">Mai Đức Vinh</x:t>
        </x:is>
      </x:c>
      <x:c r="D30" s="9" t="inlineStr">
        <x:is>
          <x:t xml:space="preserve">P0</x:t>
        </x:is>
      </x:c>
      <x:c r="E30" s="9" t="n">
        <x:v>8</x:v>
      </x:c>
      <x:c r="F30" s="9" t="n"/>
      <x:c r="G30" s="9" t="n"/>
      <x:c r="H30" s="9" t="n"/>
      <x:c r="I30" s="9" t="n"/>
      <x:c r="J30" s="13" t="inlineStr">
        <x:is>
          <x:t xml:space="preserve">■</x:t>
        </x:is>
      </x:c>
      <x:c r="K30" s="9" t="n"/>
      <x:c r="L30" s="9" t="n"/>
      <x:c r="M30" s="9" t="n"/>
    </x:row>
    <x:row r="31">
      <x:c r="A31" s="9" t="inlineStr">
        <x:is>
          <x:t xml:space="preserve">R03</x:t>
        </x:is>
      </x:c>
      <x:c r="B31" s="10" t="inlineStr">
        <x:is>
          <x:t xml:space="preserve">Cài POST /search/ranking: auth, quota, metadata filter và response</x:t>
        </x:is>
      </x:c>
      <x:c r="C31" s="9" t="inlineStr">
        <x:is>
          <x:t xml:space="preserve">Trịnh Mạnh Quang</x:t>
        </x:is>
      </x:c>
      <x:c r="D31" s="9" t="inlineStr">
        <x:is>
          <x:t xml:space="preserve">P0</x:t>
        </x:is>
      </x:c>
      <x:c r="E31" s="9" t="n">
        <x:v>10</x:v>
      </x:c>
      <x:c r="F31" s="9" t="n"/>
      <x:c r="G31" s="9" t="n"/>
      <x:c r="H31" s="9" t="n"/>
      <x:c r="I31" s="9" t="n"/>
      <x:c r="J31" s="12" t="inlineStr">
        <x:is>
          <x:t xml:space="preserve">■</x:t>
        </x:is>
      </x:c>
      <x:c r="K31" s="12" t="inlineStr">
        <x:is>
          <x:t xml:space="preserve">■</x:t>
        </x:is>
      </x:c>
      <x:c r="L31" s="9" t="n"/>
      <x:c r="M31" s="9" t="n"/>
    </x:row>
    <x:row r="32">
      <x:c r="A32" s="9" t="inlineStr">
        <x:is>
          <x:t xml:space="preserve">R04</x:t>
        </x:is>
      </x:c>
      <x:c r="B32" s="10" t="inlineStr">
        <x:is>
          <x:t xml:space="preserve">Màn hình tìm kiếm/chat, gọi API và render chunk/rank</x:t>
        </x:is>
      </x:c>
      <x:c r="C32" s="9" t="inlineStr">
        <x:is>
          <x:t xml:space="preserve">Lê Đăng Sơn</x:t>
        </x:is>
      </x:c>
      <x:c r="D32" s="9" t="inlineStr">
        <x:is>
          <x:t xml:space="preserve">P0</x:t>
        </x:is>
      </x:c>
      <x:c r="E32" s="9" t="n">
        <x:v>8</x:v>
      </x:c>
      <x:c r="F32" s="9" t="n"/>
      <x:c r="G32" s="9" t="n"/>
      <x:c r="H32" s="9" t="n"/>
      <x:c r="I32" s="9" t="n"/>
      <x:c r="J32" s="11" t="inlineStr">
        <x:is>
          <x:t xml:space="preserve">■</x:t>
        </x:is>
      </x:c>
      <x:c r="K32" s="11" t="inlineStr">
        <x:is>
          <x:t xml:space="preserve">■</x:t>
        </x:is>
      </x:c>
      <x:c r="L32" s="9" t="n"/>
      <x:c r="M32" s="9" t="n"/>
    </x:row>
    <x:row r="33">
      <x:c r="A33" s="9" t="inlineStr">
        <x:is>
          <x:t xml:space="preserve">R05</x:t>
        </x:is>
      </x:c>
      <x:c r="B33" s="10" t="inlineStr">
        <x:is>
          <x:t xml:space="preserve">Đánh giá trải nghiệm kết quả RAG và test phân quyền/quota</x:t>
        </x:is>
      </x:c>
      <x:c r="C33" s="9" t="inlineStr">
        <x:is>
          <x:t xml:space="preserve">Trần Thùy Dương</x:t>
        </x:is>
      </x:c>
      <x:c r="D33" s="9" t="inlineStr">
        <x:is>
          <x:t xml:space="preserve">P0</x:t>
        </x:is>
      </x:c>
      <x:c r="E33" s="9" t="n">
        <x:v>6</x:v>
      </x:c>
      <x:c r="F33" s="9" t="n"/>
      <x:c r="G33" s="9" t="n"/>
      <x:c r="H33" s="9" t="n"/>
      <x:c r="I33" s="9" t="n"/>
      <x:c r="J33" s="9" t="n"/>
      <x:c r="K33" s="14" t="inlineStr">
        <x:is>
          <x:t xml:space="preserve">■</x:t>
        </x:is>
      </x:c>
      <x:c r="L33" s="9" t="n"/>
      <x:c r="M33" s="9" t="n"/>
    </x:row>
    <x:row r="34">
      <x:c r="A34" s="9" t="inlineStr">
        <x:is>
          <x:t xml:space="preserve">S01</x:t>
        </x:is>
      </x:c>
      <x:c r="B34" s="10" t="inlineStr">
        <x:is>
          <x:t xml:space="preserve">Readability extraction, session UUID theo tab+user</x:t>
        </x:is>
      </x:c>
      <x:c r="C34" s="9" t="inlineStr">
        <x:is>
          <x:t xml:space="preserve">Lê Đăng Sơn</x:t>
        </x:is>
      </x:c>
      <x:c r="D34" s="9" t="inlineStr">
        <x:is>
          <x:t xml:space="preserve">P1</x:t>
        </x:is>
      </x:c>
      <x:c r="E34" s="9" t="n">
        <x:v>8</x:v>
      </x:c>
      <x:c r="F34" s="9" t="n"/>
      <x:c r="G34" s="9" t="n"/>
      <x:c r="H34" s="9" t="n"/>
      <x:c r="I34" s="9" t="n"/>
      <x:c r="J34" s="9" t="n"/>
      <x:c r="K34" s="11" t="inlineStr">
        <x:is>
          <x:t xml:space="preserve">■</x:t>
        </x:is>
      </x:c>
      <x:c r="L34" s="9" t="n"/>
      <x:c r="M34" s="9" t="n"/>
    </x:row>
    <x:row r="35">
      <x:c r="A35" s="9" t="inlineStr">
        <x:is>
          <x:t xml:space="preserve">S02</x:t>
        </x:is>
      </x:c>
      <x:c r="B35" s="10" t="inlineStr">
        <x:is>
          <x:t xml:space="preserve">Cài /skim/prepare, /skim/search và bộ nhớ session có TTL</x:t>
        </x:is>
      </x:c>
      <x:c r="C35" s="9" t="inlineStr">
        <x:is>
          <x:t xml:space="preserve">Mai Đức Vinh</x:t>
        </x:is>
      </x:c>
      <x:c r="D35" s="9" t="inlineStr">
        <x:is>
          <x:t xml:space="preserve">P1</x:t>
        </x:is>
      </x:c>
      <x:c r="E35" s="9" t="n">
        <x:v>10</x:v>
      </x:c>
      <x:c r="F35" s="9" t="n"/>
      <x:c r="G35" s="9" t="n"/>
      <x:c r="H35" s="9" t="n"/>
      <x:c r="I35" s="9" t="n"/>
      <x:c r="J35" s="9" t="n"/>
      <x:c r="K35" s="13" t="inlineStr">
        <x:is>
          <x:t xml:space="preserve">■</x:t>
        </x:is>
      </x:c>
      <x:c r="L35" s="13" t="inlineStr">
        <x:is>
          <x:t xml:space="preserve">■</x:t>
        </x:is>
      </x:c>
      <x:c r="M35" s="9" t="n"/>
    </x:row>
    <x:row r="36">
      <x:c r="A36" s="9" t="inlineStr">
        <x:is>
          <x:t xml:space="preserve">S03</x:t>
        </x:is>
      </x:c>
      <x:c r="B36" s="10" t="inlineStr">
        <x:is>
          <x:t xml:space="preserve">Pipeline chunk/embed/search/rerank tạm thời cho nội dung trang</x:t>
        </x:is>
      </x:c>
      <x:c r="C36" s="9" t="inlineStr">
        <x:is>
          <x:t xml:space="preserve">Mai Đức Vinh</x:t>
        </x:is>
      </x:c>
      <x:c r="D36" s="9" t="inlineStr">
        <x:is>
          <x:t xml:space="preserve">P1</x:t>
        </x:is>
      </x:c>
      <x:c r="E36" s="9" t="n">
        <x:v>10</x:v>
      </x:c>
      <x:c r="F36" s="9" t="n"/>
      <x:c r="G36" s="9" t="n"/>
      <x:c r="H36" s="9" t="n"/>
      <x:c r="I36" s="9" t="n"/>
      <x:c r="J36" s="9" t="n"/>
      <x:c r="K36" s="13" t="inlineStr">
        <x:is>
          <x:t xml:space="preserve">■</x:t>
        </x:is>
      </x:c>
      <x:c r="L36" s="13" t="inlineStr">
        <x:is>
          <x:t xml:space="preserve">■</x:t>
        </x:is>
      </x:c>
      <x:c r="M36" s="9" t="n"/>
    </x:row>
    <x:row r="37">
      <x:c r="A37" s="9" t="inlineStr">
        <x:is>
          <x:t xml:space="preserve">S04</x:t>
        </x:is>
      </x:c>
      <x:c r="B37" s="10" t="inlineStr">
        <x:is>
          <x:t xml:space="preserve">UI prompt, hint chuẩn bị/tìm kiếm, preview và chọn đoạn để lưu</x:t>
        </x:is>
      </x:c>
      <x:c r="C37" s="9" t="inlineStr">
        <x:is>
          <x:t xml:space="preserve">Trần Thùy Dương</x:t>
        </x:is>
      </x:c>
      <x:c r="D37" s="9" t="inlineStr">
        <x:is>
          <x:t xml:space="preserve">P1</x:t>
        </x:is>
      </x:c>
      <x:c r="E37" s="9" t="n">
        <x:v>8</x:v>
      </x:c>
      <x:c r="F37" s="9" t="n"/>
      <x:c r="G37" s="9" t="n"/>
      <x:c r="H37" s="9" t="n"/>
      <x:c r="I37" s="9" t="n"/>
      <x:c r="J37" s="9" t="n"/>
      <x:c r="K37" s="14" t="inlineStr">
        <x:is>
          <x:t xml:space="preserve">■</x:t>
        </x:is>
      </x:c>
      <x:c r="L37" s="14" t="inlineStr">
        <x:is>
          <x:t xml:space="preserve">■</x:t>
        </x:is>
      </x:c>
      <x:c r="M37" s="9" t="n"/>
    </x:row>
    <x:row r="38">
      <x:c r="A38" s="9" t="inlineStr">
        <x:is>
          <x:t xml:space="preserve">S05</x:t>
        </x:is>
      </x:c>
      <x:c r="B38" s="10" t="inlineStr">
        <x:is>
          <x:t xml:space="preserve">Cài lưu các chunk đã chọn qua contract note thống nhất</x:t>
        </x:is>
      </x:c>
      <x:c r="C38" s="9" t="inlineStr">
        <x:is>
          <x:t xml:space="preserve">Trịnh Mạnh Quang</x:t>
        </x:is>
      </x:c>
      <x:c r="D38" s="9" t="inlineStr">
        <x:is>
          <x:t xml:space="preserve">P1</x:t>
        </x:is>
      </x:c>
      <x:c r="E38" s="9" t="n">
        <x:v>6</x:v>
      </x:c>
      <x:c r="F38" s="9" t="n"/>
      <x:c r="G38" s="9" t="n"/>
      <x:c r="H38" s="9" t="n"/>
      <x:c r="I38" s="9" t="n"/>
      <x:c r="J38" s="9" t="n"/>
      <x:c r="K38" s="9" t="n"/>
      <x:c r="L38" s="12" t="inlineStr">
        <x:is>
          <x:t xml:space="preserve">■</x:t>
        </x:is>
      </x:c>
      <x:c r="M38" s="9" t="n"/>
    </x:row>
    <x:row r="39">
      <x:c r="A39" s="9" t="inlineStr">
        <x:is>
          <x:t xml:space="preserve">S06</x:t>
        </x:is>
      </x:c>
      <x:c r="B39" s="10" t="inlineStr">
        <x:is>
          <x:t xml:space="preserve">E2E skim: trang dài, chưa ready, hết quota, session hết hạn</x:t>
        </x:is>
      </x:c>
      <x:c r="C39" s="9" t="inlineStr">
        <x:is>
          <x:t xml:space="preserve">Trần Thùy Dương</x:t>
        </x:is>
      </x:c>
      <x:c r="D39" s="9" t="inlineStr">
        <x:is>
          <x:t xml:space="preserve">P1</x:t>
        </x:is>
      </x:c>
      <x:c r="E39" s="9" t="n">
        <x:v>6</x:v>
      </x:c>
      <x:c r="F39" s="9" t="n"/>
      <x:c r="G39" s="9" t="n"/>
      <x:c r="H39" s="9" t="n"/>
      <x:c r="I39" s="9" t="n"/>
      <x:c r="J39" s="9" t="n"/>
      <x:c r="K39" s="9" t="n"/>
      <x:c r="L39" s="14" t="inlineStr">
        <x:is>
          <x:t xml:space="preserve">■</x:t>
        </x:is>
      </x:c>
      <x:c r="M39" s="9" t="n"/>
    </x:row>
    <x:row r="40">
      <x:c r="A40" s="9" t="inlineStr">
        <x:is>
          <x:t xml:space="preserve">G01</x:t>
        </x:is>
      </x:c>
      <x:c r="B40" s="10" t="inlineStr">
        <x:is>
          <x:t xml:space="preserve">Đặc tả riêng chức năng Tóm tắt nội dung đang thiếu trong file kịch bản</x:t>
        </x:is>
      </x:c>
      <x:c r="C40" s="9" t="inlineStr">
        <x:is>
          <x:t xml:space="preserve">Trần Thùy Dương</x:t>
        </x:is>
      </x:c>
      <x:c r="D40" s="9" t="inlineStr">
        <x:is>
          <x:t xml:space="preserve">P1</x:t>
        </x:is>
      </x:c>
      <x:c r="E40" s="9" t="n">
        <x:v>5</x:v>
      </x:c>
      <x:c r="F40" s="9" t="n"/>
      <x:c r="G40" s="14" t="inlineStr">
        <x:is>
          <x:t xml:space="preserve">■</x:t>
        </x:is>
      </x:c>
      <x:c r="H40" s="9" t="n"/>
      <x:c r="I40" s="9" t="n"/>
      <x:c r="J40" s="9" t="n"/>
      <x:c r="K40" s="9" t="n"/>
      <x:c r="L40" s="9" t="n"/>
      <x:c r="M40" s="9" t="n"/>
    </x:row>
    <x:row r="41">
      <x:c r="A41" s="9" t="inlineStr">
        <x:is>
          <x:t xml:space="preserve">H01</x:t>
        </x:is>
      </x:c>
      <x:c r="B41" s="10" t="inlineStr">
        <x:is>
          <x:t xml:space="preserve">Rà soát permission MV3, CSP, secret/token và dữ liệu nhạy cảm</x:t>
        </x:is>
      </x:c>
      <x:c r="C41" s="9" t="inlineStr">
        <x:is>
          <x:t xml:space="preserve">Lê Đăng Sơn</x:t>
        </x:is>
      </x:c>
      <x:c r="D41" s="9" t="inlineStr">
        <x:is>
          <x:t xml:space="preserve">P0</x:t>
        </x:is>
      </x:c>
      <x:c r="E41" s="9" t="n">
        <x:v>6</x:v>
      </x:c>
      <x:c r="F41" s="9" t="n"/>
      <x:c r="G41" s="9" t="n"/>
      <x:c r="H41" s="9" t="n"/>
      <x:c r="I41" s="9" t="n"/>
      <x:c r="J41" s="9" t="n"/>
      <x:c r="K41" s="9" t="n"/>
      <x:c r="L41" s="11" t="inlineStr">
        <x:is>
          <x:t xml:space="preserve">■</x:t>
        </x:is>
      </x:c>
      <x:c r="M41" s="11" t="inlineStr">
        <x:is>
          <x:t xml:space="preserve">■</x:t>
        </x:is>
      </x:c>
    </x:row>
    <x:row r="42">
      <x:c r="A42" s="9" t="inlineStr">
        <x:is>
          <x:t xml:space="preserve">H02</x:t>
        </x:is>
      </x:c>
      <x:c r="B42" s="10" t="inlineStr">
        <x:is>
          <x:t xml:space="preserve">Validation, Google OAuth token/session validation, rate limit, CORS/HTTPS config và kiểm tra ownership API</x:t>
        </x:is>
      </x:c>
      <x:c r="C42" s="9" t="inlineStr">
        <x:is>
          <x:t xml:space="preserve">Trịnh Mạnh Quang</x:t>
        </x:is>
      </x:c>
      <x:c r="D42" s="9" t="inlineStr">
        <x:is>
          <x:t xml:space="preserve">P0</x:t>
        </x:is>
      </x:c>
      <x:c r="E42" s="9" t="n">
        <x:v>8</x:v>
      </x:c>
      <x:c r="F42" s="9" t="n"/>
      <x:c r="G42" s="9" t="n"/>
      <x:c r="H42" s="9" t="n"/>
      <x:c r="I42" s="9" t="n"/>
      <x:c r="J42" s="9" t="n"/>
      <x:c r="K42" s="9" t="n"/>
      <x:c r="L42" s="12" t="inlineStr">
        <x:is>
          <x:t xml:space="preserve">■</x:t>
        </x:is>
      </x:c>
      <x:c r="M42" s="12" t="inlineStr">
        <x:is>
          <x:t xml:space="preserve">■</x:t>
        </x:is>
      </x:c>
    </x:row>
    <x:row r="43">
      <x:c r="A43" s="9" t="inlineStr">
        <x:is>
          <x:t xml:space="preserve">H03</x:t>
        </x:is>
      </x:c>
      <x:c r="B43" s="10" t="inlineStr">
        <x:is>
          <x:t xml:space="preserve">Tạo bộ dữ liệu đánh giá và benchmark relevance/latency</x:t>
        </x:is>
      </x:c>
      <x:c r="C43" s="9" t="inlineStr">
        <x:is>
          <x:t xml:space="preserve">Mai Đức Vinh</x:t>
        </x:is>
      </x:c>
      <x:c r="D43" s="9" t="inlineStr">
        <x:is>
          <x:t xml:space="preserve">P0</x:t>
        </x:is>
      </x:c>
      <x:c r="E43" s="9" t="n">
        <x:v>8</x:v>
      </x:c>
      <x:c r="F43" s="9" t="n"/>
      <x:c r="G43" s="9" t="n"/>
      <x:c r="H43" s="9" t="n"/>
      <x:c r="I43" s="9" t="n"/>
      <x:c r="J43" s="9" t="n"/>
      <x:c r="K43" s="9" t="n"/>
      <x:c r="L43" s="13" t="inlineStr">
        <x:is>
          <x:t xml:space="preserve">■</x:t>
        </x:is>
      </x:c>
      <x:c r="M43" s="13" t="inlineStr">
        <x:is>
          <x:t xml:space="preserve">■</x:t>
        </x:is>
      </x:c>
    </x:row>
    <x:row r="44">
      <x:c r="A44" s="9" t="inlineStr">
        <x:is>
          <x:t xml:space="preserve">H04</x:t>
        </x:is>
      </x:c>
      <x:c r="B44" s="10" t="inlineStr">
        <x:is>
          <x:t xml:space="preserve">Cấu hình self-host/Dify, health/fallback và tài liệu vận hành</x:t>
        </x:is>
      </x:c>
      <x:c r="C44" s="9" t="inlineStr">
        <x:is>
          <x:t xml:space="preserve">Mai Đức Vinh</x:t>
        </x:is>
      </x:c>
      <x:c r="D44" s="9" t="inlineStr">
        <x:is>
          <x:t xml:space="preserve">P1</x:t>
        </x:is>
      </x:c>
      <x:c r="E44" s="9" t="n">
        <x:v>8</x:v>
      </x:c>
      <x:c r="F44" s="9" t="n"/>
      <x:c r="G44" s="9" t="n"/>
      <x:c r="H44" s="9" t="n"/>
      <x:c r="I44" s="9" t="n"/>
      <x:c r="J44" s="9" t="n"/>
      <x:c r="K44" s="9" t="n"/>
      <x:c r="L44" s="13" t="inlineStr">
        <x:is>
          <x:t xml:space="preserve">■</x:t>
        </x:is>
      </x:c>
      <x:c r="M44" s="13" t="inlineStr">
        <x:is>
          <x:t xml:space="preserve">■</x:t>
        </x:is>
      </x:c>
    </x:row>
    <x:row r="45">
      <x:c r="A45" s="9" t="inlineStr">
        <x:is>
          <x:t xml:space="preserve">H05</x:t>
        </x:is>
      </x:c>
      <x:c r="B45" s="10" t="inlineStr">
        <x:is>
          <x:t xml:space="preserve">Regression E2E, usability, accessibility và kiểm thử demo</x:t>
        </x:is>
      </x:c>
      <x:c r="C45" s="9" t="inlineStr">
        <x:is>
          <x:t xml:space="preserve">Trần Thùy Dương</x:t>
        </x:is>
      </x:c>
      <x:c r="D45" s="9" t="inlineStr">
        <x:is>
          <x:t xml:space="preserve">P0</x:t>
        </x:is>
      </x:c>
      <x:c r="E45" s="9" t="n">
        <x:v>10</x:v>
      </x:c>
      <x:c r="F45" s="9" t="n"/>
      <x:c r="G45" s="9" t="n"/>
      <x:c r="H45" s="9" t="n"/>
      <x:c r="I45" s="9" t="n"/>
      <x:c r="J45" s="9" t="n"/>
      <x:c r="K45" s="9" t="n"/>
      <x:c r="L45" s="9" t="n"/>
      <x:c r="M45" s="14" t="inlineStr">
        <x:is>
          <x:t xml:space="preserve">■</x:t>
        </x:is>
      </x:c>
    </x:row>
    <x:row r="46">
      <x:c r="A46" s="9" t="inlineStr">
        <x:is>
          <x:t xml:space="preserve">H06</x:t>
        </x:is>
      </x:c>
      <x:c r="B46" s="10" t="inlineStr">
        <x:is>
          <x:t xml:space="preserve">Tối ưu hiệu năng, retry/telemetry và sửa lỗi tích hợp extension</x:t>
        </x:is>
      </x:c>
      <x:c r="C46" s="9" t="inlineStr">
        <x:is>
          <x:t xml:space="preserve">Lê Đăng Sơn</x:t>
        </x:is>
      </x:c>
      <x:c r="D46" s="9" t="inlineStr">
        <x:is>
          <x:t xml:space="preserve">P0</x:t>
        </x:is>
      </x:c>
      <x:c r="E46" s="9" t="n">
        <x:v>8</x:v>
      </x:c>
      <x:c r="F46" s="9" t="n"/>
      <x:c r="G46" s="9" t="n"/>
      <x:c r="H46" s="9" t="n"/>
      <x:c r="I46" s="9" t="n"/>
      <x:c r="J46" s="9" t="n"/>
      <x:c r="K46" s="9" t="n"/>
      <x:c r="L46" s="9" t="n"/>
      <x:c r="M46" s="11" t="inlineStr">
        <x:is>
          <x:t xml:space="preserve">■</x:t>
        </x:is>
      </x:c>
    </x:row>
    <x:row r="47">
      <x:c r="A47" s="9" t="inlineStr">
        <x:is>
          <x:t xml:space="preserve">H07</x:t>
        </x:is>
      </x:c>
      <x:c r="B47" s="10" t="inlineStr">
        <x:is>
          <x:t xml:space="preserve">Đóng gói backend, migration, cấu hình demo và sửa lỗi tích hợp</x:t>
        </x:is>
      </x:c>
      <x:c r="C47" s="9" t="inlineStr">
        <x:is>
          <x:t xml:space="preserve">Trịnh Mạnh Quang</x:t>
        </x:is>
      </x:c>
      <x:c r="D47" s="9" t="inlineStr">
        <x:is>
          <x:t xml:space="preserve">P0</x:t>
        </x:is>
      </x:c>
      <x:c r="E47" s="9" t="n">
        <x:v>8</x:v>
      </x:c>
      <x:c r="F47" s="9" t="n"/>
      <x:c r="G47" s="9" t="n"/>
      <x:c r="H47" s="9" t="n"/>
      <x:c r="I47" s="9" t="n"/>
      <x:c r="J47" s="9" t="n"/>
      <x:c r="K47" s="9" t="n"/>
      <x:c r="L47" s="9" t="n"/>
      <x:c r="M47" s="12" t="inlineStr">
        <x:is>
          <x:t xml:space="preserve">■</x:t>
        </x:is>
      </x:c>
    </x:row>
    <x:row r="48">
      <x:c r="A48" s="9" t="inlineStr">
        <x:is>
          <x:t xml:space="preserve">H08</x:t>
        </x:is>
      </x:c>
      <x:c r="B48" s="10" t="inlineStr">
        <x:is>
          <x:t xml:space="preserve">Hoàn thiện báo cáo, hướng dẫn người dùng và kịch bản thuyết trình</x:t>
        </x:is>
      </x:c>
      <x:c r="C48" s="9" t="inlineStr">
        <x:is>
          <x:t xml:space="preserve">Trần Thùy Dương</x:t>
        </x:is>
      </x:c>
      <x:c r="D48" s="9" t="inlineStr">
        <x:is>
          <x:t xml:space="preserve">P0</x:t>
        </x:is>
      </x:c>
      <x:c r="E48" s="9" t="n">
        <x:v>8</x:v>
      </x:c>
      <x:c r="F48" s="9" t="n"/>
      <x:c r="G48" s="9" t="n"/>
      <x:c r="H48" s="9" t="n"/>
      <x:c r="I48" s="9" t="n"/>
      <x:c r="J48" s="9" t="n"/>
      <x:c r="K48" s="9" t="n"/>
      <x:c r="L48" s="9" t="n"/>
      <x:c r="M48" s="14" t="inlineStr">
        <x:is>
          <x:t xml:space="preserve">■</x:t>
        </x:is>
      </x:c>
    </x:row>
  </x:sheetData>
  <x:mergeCells>
    <x:mergeCell ref="A1:M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24" customWidth="1"/>
    <x:col min="2" max="2" width="29" customWidth="1"/>
    <x:col min="3" max="3" width="12" customWidth="1"/>
    <x:col min="4" max="4" width="12" customWidth="1"/>
    <x:col min="5" max="5" width="11" customWidth="1"/>
    <x:col min="6" max="6" width="11" customWidth="1"/>
    <x:col min="7" max="7" width="11" customWidth="1"/>
    <x:col min="8" max="8" width="11" customWidth="1"/>
    <x:col min="9" max="9" width="11" customWidth="1"/>
    <x:col min="10" max="10" width="11" customWidth="1"/>
    <x:col min="11" max="11" width="11" customWidth="1"/>
    <x:col min="12" max="12" width="11" customWidth="1"/>
  </x:cols>
  <x:sheetData>
    <x:row r="1" ht="30" customHeight="1">
      <x:c r="A1" s="1" t="inlineStr">
        <x:is>
          <x:t xml:space="preserve">TẢI CÔNG VIỆC THEO THÀNH VIÊN</x:t>
        </x:is>
      </x:c>
    </x:row>
    <x:row r="2"/>
    <x:row r="3">
      <x:c r="A3" s="7" t="inlineStr">
        <x:is>
          <x:t xml:space="preserve">Thành viên</x:t>
        </x:is>
      </x:c>
      <x:c r="B3" s="7" t="inlineStr">
        <x:is>
          <x:t xml:space="preserve">Vai trò</x:t>
        </x:is>
      </x:c>
      <x:c r="C3" s="7" t="inlineStr">
        <x:is>
          <x:t xml:space="preserve">Số task</x:t>
        </x:is>
      </x:c>
      <x:c r="D3" s="7" t="inlineStr">
        <x:is>
          <x:t xml:space="preserve">Tổng giờ</x:t>
        </x:is>
      </x:c>
      <x:c r="E3" s="7" t="inlineStr">
        <x:is>
          <x:t xml:space="preserve">T1</x:t>
        </x:is>
      </x:c>
      <x:c r="F3" s="7" t="inlineStr">
        <x:is>
          <x:t xml:space="preserve">T2</x:t>
        </x:is>
      </x:c>
      <x:c r="G3" s="7" t="inlineStr">
        <x:is>
          <x:t xml:space="preserve">T3</x:t>
        </x:is>
      </x:c>
      <x:c r="H3" s="7" t="inlineStr">
        <x:is>
          <x:t xml:space="preserve">T4</x:t>
        </x:is>
      </x:c>
      <x:c r="I3" s="7" t="inlineStr">
        <x:is>
          <x:t xml:space="preserve">T5</x:t>
        </x:is>
      </x:c>
      <x:c r="J3" s="7" t="inlineStr">
        <x:is>
          <x:t xml:space="preserve">T6</x:t>
        </x:is>
      </x:c>
      <x:c r="K3" s="7" t="inlineStr">
        <x:is>
          <x:t xml:space="preserve">T7</x:t>
        </x:is>
      </x:c>
      <x:c r="L3" s="7" t="inlineStr">
        <x:is>
          <x:t xml:space="preserve">T8</x:t>
        </x:is>
      </x:c>
    </x:row>
    <x:row r="4">
      <x:c r="A4" s="3" t="inlineStr">
        <x:is>
          <x:t xml:space="preserve">Lê Đăng Sơn</x:t>
        </x:is>
      </x:c>
      <x:c r="B4" s="3" t="inlineStr">
        <x:is>
          <x:t xml:space="preserve">Tech Lead / Browser Extension</x:t>
        </x:is>
      </x:c>
      <x:c r="C4" s="3" t="n">
        <x:f>COUNTIF('Backlog phân công'!$E$4:$E$48,A4)</x:f>
        <x:v>11</x:v>
      </x:c>
      <x:c r="D4" s="3" t="n">
        <x:f>SUMIF('Backlog phân công'!$E$4:$E$48,A4,'Backlog phân công'!$I$4:$I$48)</x:f>
        <x:v>84</x:v>
      </x:c>
      <x:c r="E4" s="15" t="n">
        <x:f>SUMPRODUCT(('Backlog phân công'!$E$4:$E$48=$A4)*('Backlog phân công'!$G$4:$G$48&lt;=1)*('Backlog phân công'!$H$4:$H$48&gt;=1)*('Backlog phân công'!$I$4:$I$48/('Backlog phân công'!$H$4:$H$48-'Backlog phân công'!$G$4:$G$48+1)))</x:f>
        <x:v>10</x:v>
      </x:c>
      <x:c r="F4" s="15" t="n">
        <x:f>SUMPRODUCT(('Backlog phân công'!$E$4:$E$48=$A4)*('Backlog phân công'!$G$4:$G$48&lt;=2)*('Backlog phân công'!$H$4:$H$48&gt;=2)*('Backlog phân công'!$I$4:$I$48/('Backlog phân công'!$H$4:$H$48-'Backlog phân công'!$G$4:$G$48+1)))</x:f>
        <x:v>8</x:v>
      </x:c>
      <x:c r="G4" s="15" t="n">
        <x:f>SUMPRODUCT(('Backlog phân công'!$E$4:$E$48=$A4)*('Backlog phân công'!$G$4:$G$48&lt;=3)*('Backlog phân công'!$H$4:$H$48&gt;=3)*('Backlog phân công'!$I$4:$I$48/('Backlog phân công'!$H$4:$H$48-'Backlog phân công'!$G$4:$G$48+1)))</x:f>
        <x:v>12</x:v>
      </x:c>
      <x:c r="H4" s="15" t="n">
        <x:f>SUMPRODUCT(('Backlog phân công'!$E$4:$E$48=$A4)*('Backlog phân công'!$G$4:$G$48&lt;=4)*('Backlog phân công'!$H$4:$H$48&gt;=4)*('Backlog phân công'!$I$4:$I$48/('Backlog phân công'!$H$4:$H$48-'Backlog phân công'!$G$4:$G$48+1)))</x:f>
        <x:v>13</x:v>
      </x:c>
      <x:c r="I4" s="15" t="n">
        <x:f>SUMPRODUCT(('Backlog phân công'!$E$4:$E$48=$A4)*('Backlog phân công'!$G$4:$G$48&lt;=5)*('Backlog phân công'!$H$4:$H$48&gt;=5)*('Backlog phân công'!$I$4:$I$48/('Backlog phân công'!$H$4:$H$48-'Backlog phân công'!$G$4:$G$48+1)))</x:f>
        <x:v>15</x:v>
      </x:c>
      <x:c r="J4" s="15" t="n">
        <x:f>SUMPRODUCT(('Backlog phân công'!$E$4:$E$48=$A4)*('Backlog phân công'!$G$4:$G$48&lt;=6)*('Backlog phân công'!$H$4:$H$48&gt;=6)*('Backlog phân công'!$I$4:$I$48/('Backlog phân công'!$H$4:$H$48-'Backlog phân công'!$G$4:$G$48+1)))</x:f>
        <x:v>12</x:v>
      </x:c>
      <x:c r="K4" s="15" t="n">
        <x:f>SUMPRODUCT(('Backlog phân công'!$E$4:$E$48=$A4)*('Backlog phân công'!$G$4:$G$48&lt;=7)*('Backlog phân công'!$H$4:$H$48&gt;=7)*('Backlog phân công'!$I$4:$I$48/('Backlog phân công'!$H$4:$H$48-'Backlog phân công'!$G$4:$G$48+1)))</x:f>
        <x:v>3</x:v>
      </x:c>
      <x:c r="L4" s="15" t="n">
        <x:f>SUMPRODUCT(('Backlog phân công'!$E$4:$E$48=$A4)*('Backlog phân công'!$G$4:$G$48&lt;=8)*('Backlog phân công'!$H$4:$H$48&gt;=8)*('Backlog phân công'!$I$4:$I$48/('Backlog phân công'!$H$4:$H$48-'Backlog phân công'!$G$4:$G$48+1)))</x:f>
        <x:v>11</x:v>
      </x:c>
    </x:row>
    <x:row r="5">
      <x:c r="A5" s="3" t="inlineStr">
        <x:is>
          <x:t xml:space="preserve">Trịnh Mạnh Quang</x:t>
        </x:is>
      </x:c>
      <x:c r="B5" s="3" t="inlineStr">
        <x:is>
          <x:t xml:space="preserve">Backend Lead</x:t>
        </x:is>
      </x:c>
      <x:c r="C5" s="3" t="n">
        <x:f>COUNTIF('Backlog phân công'!$E$4:$E$48,A5)</x:f>
        <x:v>11</x:v>
      </x:c>
      <x:c r="D5" s="3" t="n">
        <x:f>SUMIF('Backlog phân công'!$E$4:$E$48,A5,'Backlog phân công'!$I$4:$I$48)</x:f>
        <x:v>94</x:v>
      </x:c>
      <x:c r="E5" s="15" t="n">
        <x:f>SUMPRODUCT(('Backlog phân công'!$E$4:$E$48=$A5)*('Backlog phân công'!$G$4:$G$48&lt;=1)*('Backlog phân công'!$H$4:$H$48&gt;=1)*('Backlog phân công'!$I$4:$I$48/('Backlog phân công'!$H$4:$H$48-'Backlog phân công'!$G$4:$G$48+1)))</x:f>
        <x:v>12</x:v>
      </x:c>
      <x:c r="F5" s="15" t="n">
        <x:f>SUMPRODUCT(('Backlog phân công'!$E$4:$E$48=$A5)*('Backlog phân công'!$G$4:$G$48&lt;=2)*('Backlog phân công'!$H$4:$H$48&gt;=2)*('Backlog phân công'!$I$4:$I$48/('Backlog phân công'!$H$4:$H$48-'Backlog phân công'!$G$4:$G$48+1)))</x:f>
        <x:v>17</x:v>
      </x:c>
      <x:c r="G5" s="15" t="n">
        <x:f>SUMPRODUCT(('Backlog phân công'!$E$4:$E$48=$A5)*('Backlog phân công'!$G$4:$G$48&lt;=3)*('Backlog phân công'!$H$4:$H$48&gt;=3)*('Backlog phân công'!$I$4:$I$48/('Backlog phân công'!$H$4:$H$48-'Backlog phân công'!$G$4:$G$48+1)))</x:f>
        <x:v>18</x:v>
      </x:c>
      <x:c r="H5" s="15" t="n">
        <x:f>SUMPRODUCT(('Backlog phân công'!$E$4:$E$48=$A5)*('Backlog phân công'!$G$4:$G$48&lt;=4)*('Backlog phân công'!$H$4:$H$48&gt;=4)*('Backlog phân công'!$I$4:$I$48/('Backlog phân công'!$H$4:$H$48-'Backlog phân công'!$G$4:$G$48+1)))</x:f>
        <x:v>10</x:v>
      </x:c>
      <x:c r="I5" s="15" t="n">
        <x:f>SUMPRODUCT(('Backlog phân công'!$E$4:$E$48=$A5)*('Backlog phân công'!$G$4:$G$48&lt;=5)*('Backlog phân công'!$H$4:$H$48&gt;=5)*('Backlog phân công'!$I$4:$I$48/('Backlog phân công'!$H$4:$H$48-'Backlog phân công'!$G$4:$G$48+1)))</x:f>
        <x:v>10</x:v>
      </x:c>
      <x:c r="J5" s="15" t="n">
        <x:f>SUMPRODUCT(('Backlog phân công'!$E$4:$E$48=$A5)*('Backlog phân công'!$G$4:$G$48&lt;=6)*('Backlog phân công'!$H$4:$H$48&gt;=6)*('Backlog phân công'!$I$4:$I$48/('Backlog phân công'!$H$4:$H$48-'Backlog phân công'!$G$4:$G$48+1)))</x:f>
        <x:v>5</x:v>
      </x:c>
      <x:c r="K5" s="15" t="n">
        <x:f>SUMPRODUCT(('Backlog phân công'!$E$4:$E$48=$A5)*('Backlog phân công'!$G$4:$G$48&lt;=7)*('Backlog phân công'!$H$4:$H$48&gt;=7)*('Backlog phân công'!$I$4:$I$48/('Backlog phân công'!$H$4:$H$48-'Backlog phân công'!$G$4:$G$48+1)))</x:f>
        <x:v>10</x:v>
      </x:c>
      <x:c r="L5" s="15" t="n">
        <x:f>SUMPRODUCT(('Backlog phân công'!$E$4:$E$48=$A5)*('Backlog phân công'!$G$4:$G$48&lt;=8)*('Backlog phân công'!$H$4:$H$48&gt;=8)*('Backlog phân công'!$I$4:$I$48/('Backlog phân công'!$H$4:$H$48-'Backlog phân công'!$G$4:$G$48+1)))</x:f>
        <x:v>12</x:v>
      </x:c>
    </x:row>
    <x:row r="6">
      <x:c r="A6" s="3" t="inlineStr">
        <x:is>
          <x:t xml:space="preserve">Mai Đức Vinh</x:t>
        </x:is>
      </x:c>
      <x:c r="B6" s="3" t="inlineStr">
        <x:is>
          <x:t xml:space="preserve">AI/RAG Lead</x:t>
        </x:is>
      </x:c>
      <x:c r="C6" s="3" t="n">
        <x:f>COUNTIF('Backlog phân công'!$E$4:$E$48,A6)</x:f>
        <x:v>10</x:v>
      </x:c>
      <x:c r="D6" s="3" t="n">
        <x:f>SUMIF('Backlog phân công'!$E$4:$E$48,A6,'Backlog phân công'!$I$4:$I$48)</x:f>
        <x:v>90</x:v>
      </x:c>
      <x:c r="E6" s="15" t="n">
        <x:f>SUMPRODUCT(('Backlog phân công'!$E$4:$E$48=$A6)*('Backlog phân công'!$G$4:$G$48&lt;=1)*('Backlog phân công'!$H$4:$H$48&gt;=1)*('Backlog phân công'!$I$4:$I$48/('Backlog phân công'!$H$4:$H$48-'Backlog phân công'!$G$4:$G$48+1)))</x:f>
        <x:v>12</x:v>
      </x:c>
      <x:c r="F6" s="15" t="n">
        <x:f>SUMPRODUCT(('Backlog phân công'!$E$4:$E$48=$A6)*('Backlog phân công'!$G$4:$G$48&lt;=2)*('Backlog phân công'!$H$4:$H$48&gt;=2)*('Backlog phân công'!$I$4:$I$48/('Backlog phân công'!$H$4:$H$48-'Backlog phân công'!$G$4:$G$48+1)))</x:f>
        <x:v>4</x:v>
      </x:c>
      <x:c r="G6" s="15" t="n">
        <x:f>SUMPRODUCT(('Backlog phân công'!$E$4:$E$48=$A6)*('Backlog phân công'!$G$4:$G$48&lt;=3)*('Backlog phân công'!$H$4:$H$48&gt;=3)*('Backlog phân công'!$I$4:$I$48/('Backlog phân công'!$H$4:$H$48-'Backlog phân công'!$G$4:$G$48+1)))</x:f>
        <x:v>5</x:v>
      </x:c>
      <x:c r="H6" s="15" t="n">
        <x:f>SUMPRODUCT(('Backlog phân công'!$E$4:$E$48=$A6)*('Backlog phân công'!$G$4:$G$48&lt;=4)*('Backlog phân công'!$H$4:$H$48&gt;=4)*('Backlog phân công'!$I$4:$I$48/('Backlog phân công'!$H$4:$H$48-'Backlog phân công'!$G$4:$G$48+1)))</x:f>
        <x:v>19</x:v>
      </x:c>
      <x:c r="I6" s="15" t="n">
        <x:f>SUMPRODUCT(('Backlog phân công'!$E$4:$E$48=$A6)*('Backlog phân công'!$G$4:$G$48&lt;=5)*('Backlog phân công'!$H$4:$H$48&gt;=5)*('Backlog phân công'!$I$4:$I$48/('Backlog phân công'!$H$4:$H$48-'Backlog phân công'!$G$4:$G$48+1)))</x:f>
        <x:v>14</x:v>
      </x:c>
      <x:c r="J6" s="15" t="n">
        <x:f>SUMPRODUCT(('Backlog phân công'!$E$4:$E$48=$A6)*('Backlog phân công'!$G$4:$G$48&lt;=6)*('Backlog phân công'!$H$4:$H$48&gt;=6)*('Backlog phân công'!$I$4:$I$48/('Backlog phân công'!$H$4:$H$48-'Backlog phân công'!$G$4:$G$48+1)))</x:f>
        <x:v>10</x:v>
      </x:c>
      <x:c r="K6" s="15" t="n">
        <x:f>SUMPRODUCT(('Backlog phân công'!$E$4:$E$48=$A6)*('Backlog phân công'!$G$4:$G$48&lt;=7)*('Backlog phân công'!$H$4:$H$48&gt;=7)*('Backlog phân công'!$I$4:$I$48/('Backlog phân công'!$H$4:$H$48-'Backlog phân công'!$G$4:$G$48+1)))</x:f>
        <x:v>18</x:v>
      </x:c>
      <x:c r="L6" s="15" t="n">
        <x:f>SUMPRODUCT(('Backlog phân công'!$E$4:$E$48=$A6)*('Backlog phân công'!$G$4:$G$48&lt;=8)*('Backlog phân công'!$H$4:$H$48&gt;=8)*('Backlog phân công'!$I$4:$I$48/('Backlog phân công'!$H$4:$H$48-'Backlog phân công'!$G$4:$G$48+1)))</x:f>
        <x:v>8</x:v>
      </x:c>
    </x:row>
    <x:row r="7">
      <x:c r="A7" s="3" t="inlineStr">
        <x:is>
          <x:t xml:space="preserve">Trần Thùy Dương</x:t>
        </x:is>
      </x:c>
      <x:c r="B7" s="3" t="inlineStr">
        <x:is>
          <x:t xml:space="preserve">UI/UX &amp; QA Lead</x:t>
        </x:is>
      </x:c>
      <x:c r="C7" s="3" t="n">
        <x:f>COUNTIF('Backlog phân công'!$E$4:$E$48,A7)</x:f>
        <x:v>13</x:v>
      </x:c>
      <x:c r="D7" s="3" t="n">
        <x:f>SUMIF('Backlog phân công'!$E$4:$E$48,A7,'Backlog phân công'!$I$4:$I$48)</x:f>
        <x:v>95</x:v>
      </x:c>
      <x:c r="E7" s="15" t="n">
        <x:f>SUMPRODUCT(('Backlog phân công'!$E$4:$E$48=$A7)*('Backlog phân công'!$G$4:$G$48&lt;=1)*('Backlog phân công'!$H$4:$H$48&gt;=1)*('Backlog phân công'!$I$4:$I$48/('Backlog phân công'!$H$4:$H$48-'Backlog phân công'!$G$4:$G$48+1)))</x:f>
        <x:v>11</x:v>
      </x:c>
      <x:c r="F7" s="15" t="n">
        <x:f>SUMPRODUCT(('Backlog phân công'!$E$4:$E$48=$A7)*('Backlog phân công'!$G$4:$G$48&lt;=2)*('Backlog phân công'!$H$4:$H$48&gt;=2)*('Backlog phân công'!$I$4:$I$48/('Backlog phân công'!$H$4:$H$48-'Backlog phân công'!$G$4:$G$48+1)))</x:f>
        <x:v>12</x:v>
      </x:c>
      <x:c r="G7" s="15" t="n">
        <x:f>SUMPRODUCT(('Backlog phân công'!$E$4:$E$48=$A7)*('Backlog phân công'!$G$4:$G$48&lt;=3)*('Backlog phân công'!$H$4:$H$48&gt;=3)*('Backlog phân công'!$I$4:$I$48/('Backlog phân công'!$H$4:$H$48-'Backlog phân công'!$G$4:$G$48+1)))</x:f>
        <x:v>8</x:v>
      </x:c>
      <x:c r="H7" s="15" t="n">
        <x:f>SUMPRODUCT(('Backlog phân công'!$E$4:$E$48=$A7)*('Backlog phân công'!$G$4:$G$48&lt;=4)*('Backlog phân công'!$H$4:$H$48&gt;=4)*('Backlog phân công'!$I$4:$I$48/('Backlog phân công'!$H$4:$H$48-'Backlog phân công'!$G$4:$G$48+1)))</x:f>
        <x:v>15</x:v>
      </x:c>
      <x:c r="I7" s="15" t="n">
        <x:f>SUMPRODUCT(('Backlog phân công'!$E$4:$E$48=$A7)*('Backlog phân công'!$G$4:$G$48&lt;=5)*('Backlog phân công'!$H$4:$H$48&gt;=5)*('Backlog phân công'!$I$4:$I$48/('Backlog phân công'!$H$4:$H$48-'Backlog phân công'!$G$4:$G$48+1)))</x:f>
        <x:v>11</x:v>
      </x:c>
      <x:c r="J7" s="15" t="n">
        <x:f>SUMPRODUCT(('Backlog phân công'!$E$4:$E$48=$A7)*('Backlog phân công'!$G$4:$G$48&lt;=6)*('Backlog phân công'!$H$4:$H$48&gt;=6)*('Backlog phân công'!$I$4:$I$48/('Backlog phân công'!$H$4:$H$48-'Backlog phân công'!$G$4:$G$48+1)))</x:f>
        <x:v>10</x:v>
      </x:c>
      <x:c r="K7" s="15" t="n">
        <x:f>SUMPRODUCT(('Backlog phân công'!$E$4:$E$48=$A7)*('Backlog phân công'!$G$4:$G$48&lt;=7)*('Backlog phân công'!$H$4:$H$48&gt;=7)*('Backlog phân công'!$I$4:$I$48/('Backlog phân công'!$H$4:$H$48-'Backlog phân công'!$G$4:$G$48+1)))</x:f>
        <x:v>10</x:v>
      </x:c>
      <x:c r="L7" s="15" t="n">
        <x:f>SUMPRODUCT(('Backlog phân công'!$E$4:$E$48=$A7)*('Backlog phân công'!$G$4:$G$48&lt;=8)*('Backlog phân công'!$H$4:$H$48&gt;=8)*('Backlog phân công'!$I$4:$I$48/('Backlog phân công'!$H$4:$H$48-'Backlog phân công'!$G$4:$G$48+1)))</x:f>
        <x:v>18</x:v>
      </x:c>
    </x:row>
    <x:row r="8"/>
    <x:row r="9"/>
    <x:row r="10">
      <x:c r="A10" s="16" t="inlineStr">
        <x:is>
          <x:t xml:space="preserve">Cách đọc</x:t>
        </x:is>
      </x:c>
      <x:c r="B10" s="17" t="inlineStr">
        <x:is>
          <x:t xml:space="preserve">T1–T8 phân bổ giờ ước tính đều theo số tuần của task. Dùng để nhận biết chênh lệch tải; không phải timesheet thực tế.</x:t>
        </x:is>
      </x:c>
      <x:c r="C10" s="4" t="n"/>
      <x:c r="D10" s="4" t="n"/>
      <x:c r="E10" s="4" t="n"/>
      <x:c r="F10" s="4" t="n"/>
      <x:c r="G10" s="4" t="n"/>
      <x:c r="H10" s="4" t="n"/>
      <x:c r="I10" s="4" t="n"/>
      <x:c r="J10" s="4" t="n"/>
      <x:c r="K10" s="4" t="n"/>
      <x:c r="L10" s="5" t="n"/>
    </x:row>
  </x:sheetData>
  <x:mergeCells>
    <x:mergeCell ref="B10:L10"/>
    <x:mergeCell ref="A1:L1"/>
  </x:mergeCells>
  <x:pageMargins left="0.7" right="0.7" top="0.75" bottom="0.75" header="0.3" footer="0.3"/>
  <x:drawing xmlns:r="http://schemas.openxmlformats.org/officeDocument/2006/relationships" r:id="R98f127a079ca411e"/>
</x:worksheet>
</file>

<file path=xl/worksheets/sheet6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0" customWidth="1"/>
    <x:col min="2" max="2" width="50" customWidth="1"/>
    <x:col min="3" max="3" width="14" customWidth="1"/>
    <x:col min="4" max="4" width="14" customWidth="1"/>
    <x:col min="5" max="5" width="65" customWidth="1"/>
    <x:col min="6" max="6" width="23" customWidth="1"/>
  </x:cols>
  <x:sheetData>
    <x:row r="1" ht="30" customHeight="1">
      <x:c r="A1" s="1" t="inlineStr">
        <x:is>
          <x:t xml:space="preserve">RỦI RO, KHOẢNG TRỐNG &amp; HƯỚNG XỬ LÝ</x:t>
        </x:is>
      </x:c>
    </x:row>
    <x:row r="2"/>
    <x:row r="3">
      <x:c r="A3" s="7" t="inlineStr">
        <x:is>
          <x:t xml:space="preserve">ID</x:t>
        </x:is>
      </x:c>
      <x:c r="B3" s="7" t="inlineStr">
        <x:is>
          <x:t xml:space="preserve">Rủi ro / khoảng trống</x:t>
        </x:is>
      </x:c>
      <x:c r="C3" s="7" t="inlineStr">
        <x:is>
          <x:t xml:space="preserve">Ảnh hưởng</x:t>
        </x:is>
      </x:c>
      <x:c r="D3" s="7" t="inlineStr">
        <x:is>
          <x:t xml:space="preserve">Khả năng</x:t>
        </x:is>
      </x:c>
      <x:c r="E3" s="7" t="inlineStr">
        <x:is>
          <x:t xml:space="preserve">Giảm thiểu / quyết định</x:t>
        </x:is>
      </x:c>
      <x:c r="F3" s="7" t="inlineStr">
        <x:is>
          <x:t xml:space="preserve">Owner</x:t>
        </x:is>
      </x:c>
    </x:row>
    <x:row r="4">
      <x:c r="A4" s="3" t="inlineStr">
        <x:is>
          <x:t xml:space="preserve">R-01</x:t>
        </x:is>
      </x:c>
      <x:c r="B4" s="3" t="inlineStr">
        <x:is>
          <x:t xml:space="preserve">Tóm tắt nội dung có trong Word nhưng chưa có kịch bản chi tiết</x:t>
        </x:is>
      </x:c>
      <x:c r="C4" s="18" t="inlineStr">
        <x:is>
          <x:t xml:space="preserve">Cao</x:t>
        </x:is>
      </x:c>
      <x:c r="D4" s="19" t="inlineStr">
        <x:is>
          <x:t xml:space="preserve">Cao</x:t>
        </x:is>
      </x:c>
      <x:c r="E4" s="3" t="inlineStr">
        <x:is>
          <x:t xml:space="preserve">Đặc tả ở G01; chỉ đưa vào MVP sau khi chốt acceptance/quota</x:t>
        </x:is>
      </x:c>
      <x:c r="F4" s="3" t="inlineStr">
        <x:is>
          <x:t xml:space="preserve">Trần Thùy Dương</x:t>
        </x:is>
      </x:c>
    </x:row>
    <x:row r="5">
      <x:c r="A5" s="3" t="inlineStr">
        <x:is>
          <x:t xml:space="preserve">R-02</x:t>
        </x:is>
      </x:c>
      <x:c r="B5" s="3" t="inlineStr">
        <x:is>
          <x:t xml:space="preserve">Tên endpoint ghi chú không thống nhất giữa các bước</x:t>
        </x:is>
      </x:c>
      <x:c r="C5" s="18" t="inlineStr">
        <x:is>
          <x:t xml:space="preserve">Cao</x:t>
        </x:is>
      </x:c>
      <x:c r="D5" s="3" t="inlineStr">
        <x:is>
          <x:t xml:space="preserve">Trung bình</x:t>
        </x:is>
      </x:c>
      <x:c r="E5" s="3" t="inlineStr">
        <x:is>
          <x:t xml:space="preserve">Chuẩn hoá OpenAPI ở P02 trước khi code client/server</x:t>
        </x:is>
      </x:c>
      <x:c r="F5" s="3" t="inlineStr">
        <x:is>
          <x:t xml:space="preserve">Trịnh Mạnh Quang</x:t>
        </x:is>
      </x:c>
    </x:row>
    <x:row r="6">
      <x:c r="A6" s="3" t="inlineStr">
        <x:is>
          <x:t xml:space="preserve">R-03</x:t>
        </x:is>
      </x:c>
      <x:c r="B6" s="3" t="inlineStr">
        <x:is>
          <x:t xml:space="preserve">Google OAuth cần xác thực callback, state/nonce và app session rõ ràng</x:t>
        </x:is>
      </x:c>
      <x:c r="C6" s="18" t="inlineStr">
        <x:is>
          <x:t xml:space="preserve">Cao</x:t>
        </x:is>
      </x:c>
      <x:c r="D6" s="19" t="inlineStr">
        <x:is>
          <x:t xml:space="preserve">Cao</x:t>
        </x:is>
      </x:c>
      <x:c r="E6" s="3" t="inlineStr">
        <x:is>
          <x:t xml:space="preserve">Authorization Code + PKCE; validate issuer/audience/expiry; ownership check mọi truy vấn</x:t>
        </x:is>
      </x:c>
      <x:c r="F6" s="3" t="inlineStr">
        <x:is>
          <x:t xml:space="preserve">Trịnh Mạnh Quang</x:t>
        </x:is>
      </x:c>
    </x:row>
    <x:row r="7">
      <x:c r="A7" s="3" t="inlineStr">
        <x:is>
          <x:t xml:space="preserve">R-04</x:t>
        </x:is>
      </x:c>
      <x:c r="B7" s="3" t="inlineStr">
        <x:is>
          <x:t xml:space="preserve">Quota và silent skip AI có thể gây trạng thái note khó hiểu</x:t>
        </x:is>
      </x:c>
      <x:c r="C7" s="3" t="inlineStr">
        <x:is>
          <x:t xml:space="preserve">Trung bình</x:t>
        </x:is>
      </x:c>
      <x:c r="D7" s="19" t="inlineStr">
        <x:is>
          <x:t xml:space="preserve">Cao</x:t>
        </x:is>
      </x:c>
      <x:c r="E7" s="3" t="inlineStr">
        <x:is>
          <x:t xml:space="preserve">Tách trạng thái saved/processed; log lý do và hiển thị phù hợp</x:t>
        </x:is>
      </x:c>
      <x:c r="F7" s="3" t="inlineStr">
        <x:is>
          <x:t xml:space="preserve">Lê Đăng Sơn</x:t>
        </x:is>
      </x:c>
    </x:row>
    <x:row r="8">
      <x:c r="A8" s="3" t="inlineStr">
        <x:is>
          <x:t xml:space="preserve">R-05</x:t>
        </x:is>
      </x:c>
      <x:c r="B8" s="3" t="inlineStr">
        <x:is>
          <x:t xml:space="preserve">Dữ liệu web cá nhân được gửi đến AI provider</x:t>
        </x:is>
      </x:c>
      <x:c r="C8" s="18" t="inlineStr">
        <x:is>
          <x:t xml:space="preserve">Cao</x:t>
        </x:is>
      </x:c>
      <x:c r="D8" s="3" t="inlineStr">
        <x:is>
          <x:t xml:space="preserve">Trung bình</x:t>
        </x:is>
      </x:c>
      <x:c r="E8" s="3" t="inlineStr">
        <x:is>
          <x:t xml:space="preserve">Consent, tối thiểu hoá dữ liệu, retention policy và tùy chọn local</x:t>
        </x:is>
      </x:c>
      <x:c r="F8" s="3" t="inlineStr">
        <x:is>
          <x:t xml:space="preserve">Lê Đăng Sơn</x:t>
        </x:is>
      </x:c>
    </x:row>
    <x:row r="9">
      <x:c r="A9" s="3" t="inlineStr">
        <x:is>
          <x:t xml:space="preserve">R-06</x:t>
        </x:is>
      </x:c>
      <x:c r="B9" s="3" t="inlineStr">
        <x:is>
          <x:t xml:space="preserve">Hybrid search/rerank có độ trễ cao</x:t>
        </x:is>
      </x:c>
      <x:c r="C9" s="3" t="inlineStr">
        <x:is>
          <x:t xml:space="preserve">Trung bình</x:t>
        </x:is>
      </x:c>
      <x:c r="D9" s="19" t="inlineStr">
        <x:is>
          <x:t xml:space="preserve">Cao</x:t>
        </x:is>
      </x:c>
      <x:c r="E9" s="3" t="inlineStr">
        <x:is>
          <x:t xml:space="preserve">Benchmark sớm, timeout, cache và fallback không rerank</x:t>
        </x:is>
      </x:c>
      <x:c r="F9" s="3" t="inlineStr">
        <x:is>
          <x:t xml:space="preserve">Mai Đức Vinh</x:t>
        </x:is>
      </x:c>
    </x:row>
    <x:row r="10">
      <x:c r="A10" s="3" t="inlineStr">
        <x:is>
          <x:t xml:space="preserve">R-07</x:t>
        </x:is>
      </x:c>
      <x:c r="B10" s="3" t="inlineStr">
        <x:is>
          <x:t xml:space="preserve">IndexedDB và server có thể xung đột dữ liệu</x:t>
        </x:is>
      </x:c>
      <x:c r="C10" s="3" t="inlineStr">
        <x:is>
          <x:t xml:space="preserve">Trung bình</x:t>
        </x:is>
      </x:c>
      <x:c r="D10" s="19" t="inlineStr">
        <x:is>
          <x:t xml:space="preserve">Cao</x:t>
        </x:is>
      </x:c>
      <x:c r="E10" s="3" t="inlineStr">
        <x:is>
          <x:t xml:space="preserve">Chốt version/updatedAt và quy tắc conflict trong C02</x:t>
        </x:is>
      </x:c>
      <x:c r="F10" s="3" t="inlineStr">
        <x:is>
          <x:t xml:space="preserve">Lê Đăng Sơn</x:t>
        </x:is>
      </x:c>
    </x:row>
    <x:row r="11">
      <x:c r="A11" s="3" t="inlineStr">
        <x:is>
          <x:t xml:space="preserve">R-08</x:t>
        </x:is>
      </x:c>
      <x:c r="B11" s="3" t="inlineStr">
        <x:is>
          <x:t xml:space="preserve">Readability không ổn định trên SPA/trang đặc biệt</x:t>
        </x:is>
      </x:c>
      <x:c r="C11" s="3" t="inlineStr">
        <x:is>
          <x:t xml:space="preserve">Trung bình</x:t>
        </x:is>
      </x:c>
      <x:c r="D11" s="3" t="inlineStr">
        <x:is>
          <x:t xml:space="preserve">Trung bình</x:t>
        </x:is>
      </x:c>
      <x:c r="E11" s="3" t="inlineStr">
        <x:is>
          <x:t xml:space="preserve">Bộ trang thử chuẩn, fallback selection/body text và thông báo giới hạn</x:t>
        </x:is>
      </x:c>
      <x:c r="F11" s="3" t="inlineStr">
        <x:is>
          <x:t xml:space="preserve">Lê Đăng Sơn</x:t>
        </x:is>
      </x:c>
    </x:row>
    <x:row r="12">
      <x:c r="A12" s="3" t="inlineStr">
        <x:is>
          <x:t xml:space="preserve">R-09</x:t>
        </x:is>
      </x:c>
      <x:c r="B12" s="3" t="inlineStr">
        <x:is>
          <x:t xml:space="preserve">Self-host LLM vượt tài nguyên máy demo</x:t>
        </x:is>
      </x:c>
      <x:c r="C12" s="18" t="inlineStr">
        <x:is>
          <x:t xml:space="preserve">Cao</x:t>
        </x:is>
      </x:c>
      <x:c r="D12" s="3" t="inlineStr">
        <x:is>
          <x:t xml:space="preserve">Trung bình</x:t>
        </x:is>
      </x:c>
      <x:c r="E12" s="3" t="inlineStr">
        <x:is>
          <x:t xml:space="preserve">Provider adapter, model nhẹ, mock/demo fallback</x:t>
        </x:is>
      </x:c>
      <x:c r="F12" s="3" t="inlineStr">
        <x:is>
          <x:t xml:space="preserve">Mai Đức Vinh</x:t>
        </x:is>
      </x:c>
    </x:row>
    <x:row r="13">
      <x:c r="A13" s="3" t="inlineStr">
        <x:is>
          <x:t xml:space="preserve">R-10</x:t>
        </x:is>
      </x:c>
      <x:c r="B13" s="3" t="inlineStr">
        <x:is>
          <x:t xml:space="preserve">Phạm vi rộng so với nhóm 4 người</x:t>
        </x:is>
      </x:c>
      <x:c r="C13" s="18" t="inlineStr">
        <x:is>
          <x:t xml:space="preserve">Cao</x:t>
        </x:is>
      </x:c>
      <x:c r="D13" s="19" t="inlineStr">
        <x:is>
          <x:t xml:space="preserve">Cao</x:t>
        </x:is>
      </x:c>
      <x:c r="E13" s="3" t="inlineStr">
        <x:is>
          <x:t xml:space="preserve">Khoá P0; Skim và tóm tắt chỉ nhận khi P0 ổn định</x:t>
        </x:is>
      </x:c>
      <x:c r="F13" s="3" t="inlineStr">
        <x:is>
          <x:t xml:space="preserve">Lê Đăng Sơn</x:t>
        </x:is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8" defaultRowHeight="15"/>
  <x:cols>
    <x:col min="1" max="1" width="10" customWidth="1"/>
    <x:col min="2" max="2" width="36" customWidth="1"/>
    <x:col min="3" max="3" width="46" customWidth="1"/>
    <x:col min="4" max="4" width="42" customWidth="1"/>
    <x:col min="5" max="5" width="22" customWidth="1"/>
    <x:col min="6" max="6" width="34" customWidth="1"/>
  </x:cols>
  <x:sheetData>
    <x:row r="1" ht="30" customHeight="1">
      <x:c r="A1" s="1" t="inlineStr">
        <x:is>
          <x:t xml:space="preserve">MỤC TIÊU, MỐC BÀN GIAO &amp; NHỊP LÀM VIỆC</x:t>
        </x:is>
      </x:c>
    </x:row>
    <x:row r="2"/>
    <x:row r="3">
      <x:c r="A3" s="7" t="inlineStr">
        <x:is>
          <x:t xml:space="preserve">Tuần</x:t>
        </x:is>
      </x:c>
      <x:c r="B3" s="7" t="inlineStr">
        <x:is>
          <x:t xml:space="preserve">Mục tiêu</x:t>
        </x:is>
      </x:c>
      <x:c r="C3" s="7" t="inlineStr">
        <x:is>
          <x:t xml:space="preserve">Mốc bàn giao</x:t>
        </x:is>
      </x:c>
      <x:c r="D3" s="7" t="inlineStr">
        <x:is>
          <x:t xml:space="preserve">Điều kiện qua cổng</x:t>
        </x:is>
      </x:c>
      <x:c r="E3" s="7" t="inlineStr">
        <x:is>
          <x:t xml:space="preserve">Review chính</x:t>
        </x:is>
      </x:c>
      <x:c r="F3" s="7" t="inlineStr">
        <x:is>
          <x:t xml:space="preserve">Ghi chú</x:t>
        </x:is>
      </x:c>
    </x:row>
    <x:row r="4">
      <x:c r="A4" s="3" t="n">
        <x:v>1</x:v>
      </x:c>
      <x:c r="B4" s="3" t="inlineStr">
        <x:is>
          <x:t xml:space="preserve">Chốt kiến trúc, API, AI và UX</x:t>
        </x:is>
      </x:c>
      <x:c r="C4" s="3" t="inlineStr">
        <x:is>
          <x:t xml:space="preserve">ADR, OpenAPI draft, wireframe, repo skeleton</x:t>
        </x:is>
      </x:c>
      <x:c r="D4" s="3" t="inlineStr">
        <x:is>
          <x:t xml:space="preserve">Nhóm thống nhất scope P0/P1</x:t>
        </x:is>
      </x:c>
      <x:c r="E4" s="3" t="inlineStr">
        <x:is>
          <x:t xml:space="preserve">Lê Đăng Sơn + cả nhóm</x:t>
        </x:is>
      </x:c>
      <x:c r="F4" s="3" t="inlineStr">
        <x:is>
          <x:t xml:space="preserve">Không code lệch contract trước P02</x:t>
        </x:is>
      </x:c>
    </x:row>
    <x:row r="5">
      <x:c r="A5" s="3" t="n">
        <x:v>2</x:v>
      </x:c>
      <x:c r="B5" s="3" t="inlineStr">
        <x:is>
          <x:t xml:space="preserve">Hoàn thiện nền tảng</x:t>
        </x:is>
      </x:c>
      <x:c r="C5" s="3" t="inlineStr">
        <x:is>
          <x:t xml:space="preserve">Schema, Google OAuth, test plan, UI shell, đặc tả summary</x:t>
        </x:is>
      </x:c>
      <x:c r="D5" s="3" t="inlineStr">
        <x:is>
          <x:t xml:space="preserve">Skeleton chạy và migration pass</x:t>
        </x:is>
      </x:c>
      <x:c r="E5" s="3" t="inlineStr">
        <x:is>
          <x:t xml:space="preserve">Trịnh Mạnh Quang/Trần Thùy Dương</x:t>
        </x:is>
      </x:c>
      <x:c r="F5" s="3" t="inlineStr">
        <x:is>
          <x:t xml:space="preserve">Chốt G01</x:t>
        </x:is>
      </x:c>
    </x:row>
    <x:row r="6">
      <x:c r="A6" s="3" t="n">
        <x:v>3</x:v>
      </x:c>
      <x:c r="B6" s="3" t="inlineStr">
        <x:is>
          <x:t xml:space="preserve">Auth/quota và ghi chú đầu-cuối</x:t>
        </x:is>
      </x:c>
      <x:c r="C6" s="3" t="inlineStr">
        <x:is>
          <x:t xml:space="preserve">Auth + selection + popup + API note</x:t>
        </x:is>
      </x:c>
      <x:c r="D6" s="3" t="inlineStr">
        <x:is>
          <x:t xml:space="preserve">Lưu được note không AI</x:t>
        </x:is>
      </x:c>
      <x:c r="E6" s="3" t="inlineStr">
        <x:is>
          <x:t xml:space="preserve">Lê Đăng Sơn/Trịnh Mạnh Quang</x:t>
        </x:is>
      </x:c>
      <x:c r="F6" s="3" t="inlineStr">
        <x:is>
          <x:t xml:space="preserve">Ưu tiên vertical slice</x:t>
        </x:is>
      </x:c>
    </x:row>
    <x:row r="7">
      <x:c r="A7" s="3" t="n">
        <x:v>4</x:v>
      </x:c>
      <x:c r="B7" s="3" t="inlineStr">
        <x:is>
          <x:t xml:space="preserve">MVP ghi chú + vector</x:t>
        </x:is>
      </x:c>
      <x:c r="C7" s="3" t="inlineStr">
        <x:is>
          <x:t xml:space="preserve">Chunk/embed/vector + queue + E2E</x:t>
        </x:is>
      </x:c>
      <x:c r="D7" s="3" t="inlineStr">
        <x:is>
          <x:t xml:space="preserve">Luồng N01–N07 pass</x:t>
        </x:is>
      </x:c>
      <x:c r="E7" s="3" t="inlineStr">
        <x:is>
          <x:t xml:space="preserve">Mai Đức Vinh/Trần Thùy Dương</x:t>
        </x:is>
      </x:c>
      <x:c r="F7" s="3" t="inlineStr">
        <x:is>
          <x:t xml:space="preserve">Mốc MVP-1</x:t>
        </x:is>
      </x:c>
    </x:row>
    <x:row r="8">
      <x:c r="A8" s="3" t="n">
        <x:v>5</x:v>
      </x:c>
      <x:c r="B8" s="3" t="inlineStr">
        <x:is>
          <x:t xml:space="preserve">Thư viện note + retrieval</x:t>
        </x:is>
      </x:c>
      <x:c r="C8" s="3" t="inlineStr">
        <x:is>
          <x:t xml:space="preserve">CRUD/cache/UI + hybrid/rerank</x:t>
        </x:is>
      </x:c>
      <x:c r="D8" s="3" t="inlineStr">
        <x:is>
          <x:t xml:space="preserve">Offline cơ bản và search backend pass</x:t>
        </x:is>
      </x:c>
      <x:c r="E8" s="3" t="inlineStr">
        <x:is>
          <x:t xml:space="preserve">Cả nhóm</x:t>
        </x:is>
      </x:c>
      <x:c r="F8" s="3" t="inlineStr">
        <x:is>
          <x:t xml:space="preserve">Không mở P1 nếu P0 đỏ</x:t>
        </x:is>
      </x:c>
    </x:row>
    <x:row r="9">
      <x:c r="A9" s="3" t="n">
        <x:v>6</x:v>
      </x:c>
      <x:c r="B9" s="3" t="inlineStr">
        <x:is>
          <x:t xml:space="preserve">RAG hoàn chỉnh, bắt đầu skim</x:t>
        </x:is>
      </x:c>
      <x:c r="C9" s="3" t="inlineStr">
        <x:is>
          <x:t xml:space="preserve">Search UI/API + Readability + skim skeleton</x:t>
        </x:is>
      </x:c>
      <x:c r="D9" s="3" t="inlineStr">
        <x:is>
          <x:t xml:space="preserve">RAG P0 nghiệm thu</x:t>
        </x:is>
      </x:c>
      <x:c r="E9" s="3" t="inlineStr">
        <x:is>
          <x:t xml:space="preserve">Mai Đức Vinh/Lê Đăng Sơn</x:t>
        </x:is>
      </x:c>
      <x:c r="F9" s="3" t="inlineStr">
        <x:is>
          <x:t xml:space="preserve">Mốc MVP-2</x:t>
        </x:is>
      </x:c>
    </x:row>
    <x:row r="10">
      <x:c r="A10" s="3" t="n">
        <x:v>7</x:v>
      </x:c>
      <x:c r="B10" s="3" t="inlineStr">
        <x:is>
          <x:t xml:space="preserve">Skim và hardening</x:t>
        </x:is>
      </x:c>
      <x:c r="C10" s="3" t="inlineStr">
        <x:is>
          <x:t xml:space="preserve">Skim E2E + security + deploy/eval draft</x:t>
        </x:is>
      </x:c>
      <x:c r="D10" s="3" t="inlineStr">
        <x:is>
          <x:t xml:space="preserve">P1 pass hoặc cắt khỏi demo</x:t>
        </x:is>
      </x:c>
      <x:c r="E10" s="3" t="inlineStr">
        <x:is>
          <x:t xml:space="preserve">Trịnh Mạnh Quang/Trần Thùy Dương</x:t>
        </x:is>
      </x:c>
      <x:c r="F10" s="3" t="inlineStr">
        <x:is>
          <x:t xml:space="preserve">Khoá tính năng cuối tuần</x:t>
        </x:is>
      </x:c>
    </x:row>
    <x:row r="11">
      <x:c r="A11" s="3" t="n">
        <x:v>8</x:v>
      </x:c>
      <x:c r="B11" s="3" t="inlineStr">
        <x:is>
          <x:t xml:space="preserve">Release và thuyết trình</x:t>
        </x:is>
      </x:c>
      <x:c r="C11" s="3" t="inlineStr">
        <x:is>
          <x:t xml:space="preserve">Regression, release candidate, report, demo</x:t>
        </x:is>
      </x:c>
      <x:c r="D11" s="3" t="inlineStr">
        <x:is>
          <x:t xml:space="preserve">0 lỗi P0/P1; demo rehearsal pass</x:t>
        </x:is>
      </x:c>
      <x:c r="E11" s="3" t="inlineStr">
        <x:is>
          <x:t xml:space="preserve">Cả nhóm</x:t>
        </x:is>
      </x:c>
      <x:c r="F11" s="3" t="inlineStr">
        <x:is>
          <x:t xml:space="preserve">Không thêm tính năng mới</x:t>
        </x:is>
      </x:c>
    </x:row>
    <x:row r="12"/>
    <x:row r="13"/>
    <x:row r="14">
      <x:c r="A14" s="20" t="inlineStr">
        <x:is>
          <x:t xml:space="preserve">Nhịp cố định</x:t>
        </x:is>
      </x:c>
      <x:c r="B14" s="3" t="inlineStr">
        <x:is>
          <x:t xml:space="preserve">Đầu tuần: chốt mục tiêu &amp; dependency (30’). Giữa tuần: sync blocker (15’). Cuối tuần: demo + review + cập nhật backlog (45’). Pull request cần 1 reviewer; thay đổi contract cần owner Backend + client liên quan duyệt.</x:t>
        </x:is>
      </x:c>
      <x:c r="C14" s="4" t="n"/>
      <x:c r="D14" s="4" t="n"/>
      <x:c r="E14" s="4" t="n"/>
      <x:c r="F14" s="5" t="n"/>
    </x:row>
  </x:sheetData>
  <x:mergeCells>
    <x:mergeCell ref="A1:F1"/>
    <x:mergeCell ref="B14:F14"/>
  </x:mergeCells>
  <x:pageMargins left="0.7" right="0.7" top="0.75" bottom="0.75" header="0.3" footer="0.3"/>
</x:worksheet>
</file>