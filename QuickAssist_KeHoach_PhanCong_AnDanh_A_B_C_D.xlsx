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Ma trận chức năng" sheetId="2" state="visible" r:id="rId2"/>
    <sheet xmlns:r="http://schemas.openxmlformats.org/officeDocument/2006/relationships" name="Backlog phân công" sheetId="3" state="visible" r:id="rId3"/>
    <sheet xmlns:r="http://schemas.openxmlformats.org/officeDocument/2006/relationships" name="Timeline 8 tuần" sheetId="4" state="visible" r:id="rId4"/>
    <sheet xmlns:r="http://schemas.openxmlformats.org/officeDocument/2006/relationships" name="Tải công việc" sheetId="5" state="visible" r:id="rId5"/>
    <sheet xmlns:r="http://schemas.openxmlformats.org/officeDocument/2006/relationships" name="Rủi ro &amp; quyết định" sheetId="6" state="visible" r:id="rId6"/>
    <sheet xmlns:r="http://schemas.openxmlformats.org/officeDocument/2006/relationships" name="Kế hoạch tuần" sheetId="7" state="visible" r:id="rId7"/>
  </sheets>
  <definedNames>
    <definedName name="_xlnm._FilterDatabase" localSheetId="1" hidden="1">'Ma trận chức năng'!$A$3:$E$12</definedName>
    <definedName name="_xlnm._FilterDatabase" localSheetId="2" hidden="1">'Backlog phân công'!$A$3:$O$49</definedName>
    <definedName name="_xlnm._FilterDatabase" localSheetId="3" hidden="1">'Timeline 8 tuần'!$A$3:$M$49</definedName>
    <definedName name="_xlnm._FilterDatabase" localSheetId="5" hidden="1">'Rủi ro &amp; quyết định'!$A$3:$F$13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  <sz val="13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008C95"/>
      </patternFill>
    </fill>
    <fill>
      <patternFill patternType="solid">
        <fgColor rgb="002F75B5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9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Tổng giờ dự kiến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'Tải công việc'!D3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'Tải công việc'!$A$4:$A$7</f>
            </numRef>
          </cat>
          <val>
            <numRef>
              <f>'Tải công việc'!$D$4:$D$7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Thành viên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QUICKASSIST — PHÂN TÍCH &amp; KẾ HOẠCH NHÓM 4 NGƯỜI (BẢN ẨN DANH)</t>
        </is>
      </c>
    </row>
    <row r="2"/>
    <row r="3">
      <c r="A3" s="2" t="inlineStr">
        <is>
          <t>Mục tiêu</t>
        </is>
      </c>
      <c r="B3" s="3" t="inlineStr">
        <is>
          <t>Xây extension ghi chú nhanh, quản lý note và tra cứu ngữ nghĩa; kiến trúc mở để dùng dịch vụ hoặc tự triển khai.</t>
        </is>
      </c>
      <c r="C3" s="4" t="n"/>
      <c r="D3" s="4" t="n"/>
      <c r="E3" s="4" t="n"/>
      <c r="F3" s="5" t="n"/>
    </row>
    <row r="4">
      <c r="A4" s="2" t="inlineStr">
        <is>
          <t>Mốc kế hoạch</t>
        </is>
      </c>
      <c r="B4" s="3" t="inlineStr">
        <is>
          <t>8 tuần — khóa phạm vi P0 trước; P1 chỉ làm sau khi P0 đạt Definition of Done.</t>
        </is>
      </c>
      <c r="C4" s="4" t="n"/>
      <c r="D4" s="4" t="n"/>
      <c r="E4" s="4" t="n"/>
      <c r="F4" s="5" t="n"/>
    </row>
    <row r="5">
      <c r="A5" s="2" t="inlineStr">
        <is>
          <t>MVP đề xuất</t>
        </is>
      </c>
      <c r="B5" s="3" t="inlineStr">
        <is>
          <t>Tài khoản/auth + ghi chú nhanh + thư viện/CRUD/cache + RAG cơ bản + bảo mật/kiểm thử.</t>
        </is>
      </c>
      <c r="C5" s="4" t="n"/>
      <c r="D5" s="4" t="n"/>
      <c r="E5" s="4" t="n"/>
      <c r="F5" s="5" t="n"/>
    </row>
    <row r="6">
      <c r="A6" s="2" t="inlineStr">
        <is>
          <t>Ngoài MVP</t>
        </is>
      </c>
      <c r="B6" s="3" t="inlineStr">
        <is>
          <t>Skim trang là P1; tóm tắt phải bổ sung kịch bản; lịch trình cá nhân/consent là P2.</t>
        </is>
      </c>
      <c r="C6" s="4" t="n"/>
      <c r="D6" s="4" t="n"/>
      <c r="E6" s="4" t="n"/>
      <c r="F6" s="5" t="n"/>
    </row>
    <row r="7">
      <c r="A7" s="2" t="inlineStr">
        <is>
          <t>Nguồn phân tích</t>
        </is>
      </c>
      <c r="B7" s="3" t="inlineStr">
        <is>
          <t>Nhóm 1 - Báo cáo ý tưởng đề tài.docx; Kịch bản chức năng QuickAssist_1.xlsx</t>
        </is>
      </c>
      <c r="C7" s="4" t="n"/>
      <c r="D7" s="4" t="n"/>
      <c r="E7" s="4" t="n"/>
      <c r="F7" s="5" t="n"/>
    </row>
    <row r="8"/>
    <row r="9">
      <c r="A9" s="6" t="inlineStr">
        <is>
          <t>Nhận định chính</t>
        </is>
      </c>
    </row>
    <row r="10">
      <c r="A10" s="3" t="inlineStr">
        <is>
          <t>1.</t>
        </is>
      </c>
      <c r="B10" s="3" t="inlineStr">
        <is>
          <t>Kiến trúc gồm Extension/UI ↔ Server ↔ AI Provider, với PostgreSQL + pgvector và IndexedDB làm cache/offline.</t>
        </is>
      </c>
      <c r="C10" s="4" t="n"/>
      <c r="D10" s="4" t="n"/>
      <c r="E10" s="4" t="n"/>
      <c r="F10" s="5" t="n"/>
    </row>
    <row r="11">
      <c r="A11" s="3" t="inlineStr">
        <is>
          <t>2.</t>
        </is>
      </c>
      <c r="B11" s="3" t="inlineStr">
        <is>
          <t>Kịch bản đã mô tả tốt 5 luồng: ghi chú nhanh, skim trang, duyệt note, RAG và CRUD; nhưng account/auth mới ở mức ý tưởng.</t>
        </is>
      </c>
      <c r="C11" s="4" t="n"/>
      <c r="D11" s="4" t="n"/>
      <c r="E11" s="4" t="n"/>
      <c r="F11" s="5" t="n"/>
    </row>
    <row r="12">
      <c r="A12" s="3" t="inlineStr">
        <is>
          <t>3.</t>
        </is>
      </c>
      <c r="B12" s="3" t="inlineStr">
        <is>
          <t>Mấu chốt dữ liệu là ownership theo user, metadata/category, UUID note/chunk, quota và đồng bộ local–server.</t>
        </is>
      </c>
      <c r="C12" s="4" t="n"/>
      <c r="D12" s="4" t="n"/>
      <c r="E12" s="4" t="n"/>
      <c r="F12" s="5" t="n"/>
    </row>
    <row r="13">
      <c r="A13" s="3" t="inlineStr">
        <is>
          <t>4.</t>
        </is>
      </c>
      <c r="B13" s="3" t="inlineStr">
        <is>
          <t>Hai contract phải chốt trước code: endpoint ghi chú và quy tắc response/error/idempotency.</t>
        </is>
      </c>
      <c r="C13" s="4" t="n"/>
      <c r="D13" s="4" t="n"/>
      <c r="E13" s="4" t="n"/>
      <c r="F13" s="5" t="n"/>
    </row>
    <row r="14">
      <c r="A14" s="3" t="inlineStr">
        <is>
          <t>5.</t>
        </is>
      </c>
      <c r="B14" s="3" t="inlineStr">
        <is>
          <t>Tóm tắt nội dung và lịch trình cá nhân chưa đủ đặc tả; không nên cam kết trong MVP trước khi làm G01/G02.</t>
        </is>
      </c>
      <c r="C14" s="4" t="n"/>
      <c r="D14" s="4" t="n"/>
      <c r="E14" s="4" t="n"/>
      <c r="F14" s="5" t="n"/>
    </row>
    <row r="15">
      <c r="A15" s="3" t="inlineStr">
        <is>
          <t>6.</t>
        </is>
      </c>
      <c r="B15" s="3" t="inlineStr">
        <is>
          <t>RAG nên có benchmark chất lượng/độ trễ; luôn có timeout/fallback để demo không phụ thuộc tuyệt đối vào provider.</t>
        </is>
      </c>
      <c r="C15" s="4" t="n"/>
      <c r="D15" s="4" t="n"/>
      <c r="E15" s="4" t="n"/>
      <c r="F15" s="5" t="n"/>
    </row>
    <row r="16"/>
    <row r="17"/>
    <row r="18">
      <c r="A18" s="7" t="inlineStr">
        <is>
          <t>Thành viên</t>
        </is>
      </c>
      <c r="B18" s="7" t="inlineStr">
        <is>
          <t>Vai trò chính</t>
        </is>
      </c>
      <c r="C18" s="7" t="inlineStr">
        <is>
          <t>Trách nhiệm</t>
        </is>
      </c>
      <c r="D18" s="4" t="n"/>
      <c r="E18" s="4" t="n"/>
      <c r="F18" s="5" t="n"/>
    </row>
    <row r="19">
      <c r="A19" s="3" t="inlineStr">
        <is>
          <t>Người A</t>
        </is>
      </c>
      <c r="B19" s="3" t="inlineStr">
        <is>
          <t>Tech Lead / Browser Extension</t>
        </is>
      </c>
      <c r="C19" s="3" t="inlineStr">
        <is>
          <t>Kiến trúc tổng thể, Manifest V3, TypeScript, IndexedDB, tích hợp UI–API</t>
        </is>
      </c>
      <c r="D19" s="4" t="n"/>
      <c r="E19" s="4" t="n"/>
      <c r="F19" s="5" t="n"/>
    </row>
    <row r="20">
      <c r="A20" s="3" t="inlineStr">
        <is>
          <t>Người B</t>
        </is>
      </c>
      <c r="B20" s="3" t="inlineStr">
        <is>
          <t>Backend Lead</t>
        </is>
      </c>
      <c r="C20" s="3" t="inlineStr">
        <is>
          <t>API Python, xác thực, PostgreSQL/pgvector, quota, đồng bộ dữ liệu</t>
        </is>
      </c>
      <c r="D20" s="4" t="n"/>
      <c r="E20" s="4" t="n"/>
      <c r="F20" s="5" t="n"/>
    </row>
    <row r="21">
      <c r="A21" s="3" t="inlineStr">
        <is>
          <t>Người C</t>
        </is>
      </c>
      <c r="B21" s="3" t="inlineStr">
        <is>
          <t>AI/RAG Lead</t>
        </is>
      </c>
      <c r="C21" s="3" t="inlineStr">
        <is>
          <t>Chunking, embedding, hybrid search, reranking, đánh giá chất lượng AI</t>
        </is>
      </c>
      <c r="D21" s="4" t="n"/>
      <c r="E21" s="4" t="n"/>
      <c r="F21" s="5" t="n"/>
    </row>
    <row r="22">
      <c r="A22" s="3" t="inlineStr">
        <is>
          <t>Người D</t>
        </is>
      </c>
      <c r="B22" s="3" t="inlineStr">
        <is>
          <t>UI/UX &amp; QA Lead</t>
        </is>
      </c>
      <c r="C22" s="3" t="inlineStr">
        <is>
          <t>Luồng giao diện, trạng thái lỗi, kiểm thử, tài liệu và demo</t>
        </is>
      </c>
      <c r="D22" s="4" t="n"/>
      <c r="E22" s="4" t="n"/>
      <c r="F22" s="5" t="n"/>
    </row>
    <row r="23"/>
    <row r="24"/>
    <row r="25">
      <c r="A25" s="6" t="inlineStr">
        <is>
          <t>Definition of Done chung</t>
        </is>
      </c>
    </row>
    <row r="26">
      <c r="A26" s="3" t="inlineStr">
        <is>
          <t>✓</t>
        </is>
      </c>
      <c r="B26" s="3" t="inlineStr">
        <is>
          <t>Có acceptance criteria và test tương ứng; code được thành viên phối hợp review.</t>
        </is>
      </c>
      <c r="C26" s="4" t="n"/>
      <c r="D26" s="4" t="n"/>
      <c r="E26" s="4" t="n"/>
      <c r="F26" s="5" t="n"/>
    </row>
    <row r="27">
      <c r="A27" s="3" t="inlineStr">
        <is>
          <t>✓</t>
        </is>
      </c>
      <c r="B27" s="3" t="inlineStr">
        <is>
          <t>Build/lint/unit/integration liên quan đều pass; không còn lỗi P0/P1 mở.</t>
        </is>
      </c>
      <c r="C27" s="4" t="n"/>
      <c r="D27" s="4" t="n"/>
      <c r="E27" s="4" t="n"/>
      <c r="F27" s="5" t="n"/>
    </row>
    <row r="28">
      <c r="A28" s="3" t="inlineStr">
        <is>
          <t>✓</t>
        </is>
      </c>
      <c r="B28" s="3" t="inlineStr">
        <is>
          <t>Không log token/nội dung nhạy cảm; kiểm tra ownership và validation ở server.</t>
        </is>
      </c>
      <c r="C28" s="4" t="n"/>
      <c r="D28" s="4" t="n"/>
      <c r="E28" s="4" t="n"/>
      <c r="F28" s="5" t="n"/>
    </row>
    <row r="29">
      <c r="A29" s="3" t="inlineStr">
        <is>
          <t>✓</t>
        </is>
      </c>
      <c r="B29" s="3" t="inlineStr">
        <is>
          <t>API/schema/tài liệu được cập nhật cùng thay đổi; demo được trên dữ liệu mẫu.</t>
        </is>
      </c>
      <c r="C29" s="4" t="n"/>
      <c r="D29" s="4" t="n"/>
      <c r="E29" s="4" t="n"/>
      <c r="F29" s="5" t="n"/>
    </row>
  </sheetData>
  <mergeCells count="23">
    <mergeCell ref="B4:F4"/>
    <mergeCell ref="B7:F7"/>
    <mergeCell ref="B3:F3"/>
    <mergeCell ref="C19:F19"/>
    <mergeCell ref="B27:F27"/>
    <mergeCell ref="C18:F18"/>
    <mergeCell ref="B12:F12"/>
    <mergeCell ref="B11:F11"/>
    <mergeCell ref="B14:F14"/>
    <mergeCell ref="B13:F13"/>
    <mergeCell ref="B29:F29"/>
    <mergeCell ref="B10:F10"/>
    <mergeCell ref="C20:F20"/>
    <mergeCell ref="B28:F28"/>
    <mergeCell ref="A9:F9"/>
    <mergeCell ref="C22:F22"/>
    <mergeCell ref="B6:F6"/>
    <mergeCell ref="B15:F15"/>
    <mergeCell ref="A1:F1"/>
    <mergeCell ref="B5:F5"/>
    <mergeCell ref="C21:F21"/>
    <mergeCell ref="B26:F26"/>
    <mergeCell ref="A25:F25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2" customWidth="1" min="4" max="4"/>
    <col width="65" customWidth="1" min="5" max="5"/>
  </cols>
  <sheetData>
    <row r="1" ht="30" customHeight="1">
      <c r="A1" s="1" t="inlineStr">
        <is>
          <t>MA TRẬN PHẠM VI &amp; MỨC ĐỘ ĐẶC TẢ</t>
        </is>
      </c>
    </row>
    <row r="2"/>
    <row r="3">
      <c r="A3" s="7" t="inlineStr">
        <is>
          <t>Chức năng</t>
        </is>
      </c>
      <c r="B3" s="7" t="inlineStr">
        <is>
          <t>Nguồn</t>
        </is>
      </c>
      <c r="C3" s="7" t="inlineStr">
        <is>
          <t>Mức đặc tả</t>
        </is>
      </c>
      <c r="D3" s="7" t="inlineStr">
        <is>
          <t>Ưu tiên</t>
        </is>
      </c>
      <c r="E3" s="7" t="inlineStr">
        <is>
          <t>Nhận xét / quyết định</t>
        </is>
      </c>
    </row>
    <row r="4">
      <c r="A4" s="3" t="inlineStr">
        <is>
          <t>Tài khoản cá nhân</t>
        </is>
      </c>
      <c r="B4" s="3" t="inlineStr">
        <is>
          <t>Word</t>
        </is>
      </c>
      <c r="C4" s="3" t="inlineStr">
        <is>
          <t>Một phần</t>
        </is>
      </c>
      <c r="D4" s="3" t="inlineStr">
        <is>
          <t>P0</t>
        </is>
      </c>
      <c r="E4" s="3" t="inlineStr">
        <is>
          <t>Cần chốt auth/token, quota, profile và quyền riêng tư</t>
        </is>
      </c>
    </row>
    <row r="5">
      <c r="A5" s="3" t="inlineStr">
        <is>
          <t>Ghi chú nhanh</t>
        </is>
      </c>
      <c r="B5" s="3" t="inlineStr">
        <is>
          <t>Word + Excel</t>
        </is>
      </c>
      <c r="C5" s="3" t="inlineStr">
        <is>
          <t>Chi tiết</t>
        </is>
      </c>
      <c r="D5" s="3" t="inlineStr">
        <is>
          <t>P0</t>
        </is>
      </c>
      <c r="E5" s="3" t="inlineStr">
        <is>
          <t>Luồng selection → undo 5s → lưu → AI xử lý → local state</t>
        </is>
      </c>
    </row>
    <row r="6">
      <c r="A6" s="3" t="inlineStr">
        <is>
          <t>Tìm văn bản nổi bật trên trang</t>
        </is>
      </c>
      <c r="B6" s="3" t="inlineStr">
        <is>
          <t>Excel</t>
        </is>
      </c>
      <c r="C6" s="3" t="inlineStr">
        <is>
          <t>Chi tiết</t>
        </is>
      </c>
      <c r="D6" s="3" t="inlineStr">
        <is>
          <t>P1</t>
        </is>
      </c>
      <c r="E6" s="3" t="inlineStr">
        <is>
          <t>Readability + session tạm + hybrid search + chọn đoạn để lưu</t>
        </is>
      </c>
    </row>
    <row r="7">
      <c r="A7" s="3" t="inlineStr">
        <is>
          <t>Duyệt note/cache</t>
        </is>
      </c>
      <c r="B7" s="3" t="inlineStr">
        <is>
          <t>Excel</t>
        </is>
      </c>
      <c r="C7" s="3" t="inlineStr">
        <is>
          <t>Chi tiết</t>
        </is>
      </c>
      <c r="D7" s="3" t="inlineStr">
        <is>
          <t>P0</t>
        </is>
      </c>
      <c r="E7" s="3" t="inlineStr">
        <is>
          <t>Cache-first IndexedDB, sync server và hiển thị thư viện</t>
        </is>
      </c>
    </row>
    <row r="8">
      <c r="A8" s="3" t="inlineStr">
        <is>
          <t>Tra cứu note RAG-like</t>
        </is>
      </c>
      <c r="B8" s="3" t="inlineStr">
        <is>
          <t>Word + Excel</t>
        </is>
      </c>
      <c r="C8" s="3" t="inlineStr">
        <is>
          <t>Chi tiết</t>
        </is>
      </c>
      <c r="D8" s="3" t="inlineStr">
        <is>
          <t>P0</t>
        </is>
      </c>
      <c r="E8" s="3" t="inlineStr">
        <is>
          <t>Filter theo user/category; BM25 + vector + rerank</t>
        </is>
      </c>
    </row>
    <row r="9">
      <c r="A9" s="3" t="inlineStr">
        <is>
          <t>Note CRUD</t>
        </is>
      </c>
      <c r="B9" s="3" t="inlineStr">
        <is>
          <t>Excel</t>
        </is>
      </c>
      <c r="C9" s="3" t="inlineStr">
        <is>
          <t>Chi tiết</t>
        </is>
      </c>
      <c r="D9" s="3" t="inlineStr">
        <is>
          <t>P0</t>
        </is>
      </c>
      <c r="E9" s="3" t="inlineStr">
        <is>
          <t>Sửa/xoá/bulk delete và cập nhật local tương ứng</t>
        </is>
      </c>
    </row>
    <row r="10">
      <c r="A10" s="3" t="inlineStr">
        <is>
          <t>Tóm tắt nội dung</t>
        </is>
      </c>
      <c r="B10" s="3" t="inlineStr">
        <is>
          <t>Word</t>
        </is>
      </c>
      <c r="C10" s="3" t="inlineStr">
        <is>
          <t>Thiếu kịch bản</t>
        </is>
      </c>
      <c r="D10" s="3" t="inlineStr">
        <is>
          <t>P1</t>
        </is>
      </c>
      <c r="E10" s="3" t="inlineStr">
        <is>
          <t>Phải bổ sung scenario, API, UI, quota, lưu trữ và acceptance</t>
        </is>
      </c>
    </row>
    <row r="11">
      <c r="A11" s="3" t="inlineStr">
        <is>
          <t>Trích xuất lịch trình cá nhân</t>
        </is>
      </c>
      <c r="B11" s="3" t="inlineStr">
        <is>
          <t>Word</t>
        </is>
      </c>
      <c r="C11" s="3" t="inlineStr">
        <is>
          <t>Ý tưởng sơ bộ</t>
        </is>
      </c>
      <c r="D11" s="3" t="inlineStr">
        <is>
          <t>P2</t>
        </is>
      </c>
      <c r="E11" s="3" t="inlineStr">
        <is>
          <t>Rủi ro privacy/consent; nên để sau MVP</t>
        </is>
      </c>
    </row>
    <row r="12">
      <c r="A12" s="3" t="inlineStr">
        <is>
          <t>Tự triển khai/local AI</t>
        </is>
      </c>
      <c r="B12" s="3" t="inlineStr">
        <is>
          <t>Word</t>
        </is>
      </c>
      <c r="C12" s="3" t="inlineStr">
        <is>
          <t>Định hướng</t>
        </is>
      </c>
      <c r="D12" s="3" t="inlineStr">
        <is>
          <t>P1</t>
        </is>
      </c>
      <c r="E12" s="3" t="inlineStr">
        <is>
          <t>Cần adapter và hướng dẫn cấu hình, không khóa vào một provider</t>
        </is>
      </c>
    </row>
  </sheetData>
  <autoFilter ref="A3:E12"/>
  <mergeCells count="1">
    <mergeCell ref="A1:E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  <col width="48" customWidth="1" min="4" max="4"/>
    <col width="22" customWidth="1" min="5" max="5"/>
    <col width="22" customWidth="1" min="6" max="6"/>
    <col width="9" customWidth="1" min="7" max="7"/>
    <col width="9" customWidth="1" min="8" max="8"/>
    <col width="8" customWidth="1" min="9" max="9"/>
    <col width="9" customWidth="1" min="10" max="10"/>
    <col width="18" customWidth="1" min="11" max="11"/>
    <col width="28" customWidth="1" min="12" max="12"/>
    <col width="48" customWidth="1" min="13" max="13"/>
    <col width="17" customWidth="1" min="14" max="14"/>
    <col width="14" customWidth="1" min="15" max="15"/>
  </cols>
  <sheetData>
    <row r="1" ht="30" customHeight="1">
      <c r="A1" s="1" t="inlineStr">
        <is>
          <t>BACKLOG PHÂN CÔNG CHI TIẾT — BẢN ẨN DANH</t>
        </is>
      </c>
    </row>
    <row r="2"/>
    <row r="3">
      <c r="A3" s="7" t="inlineStr">
        <is>
          <t>ID</t>
        </is>
      </c>
      <c r="B3" s="7" t="inlineStr">
        <is>
          <t>Giai đoạn</t>
        </is>
      </c>
      <c r="C3" s="7" t="inlineStr">
        <is>
          <t>Hạng mục</t>
        </is>
      </c>
      <c r="D3" s="7" t="inlineStr">
        <is>
          <t>Task</t>
        </is>
      </c>
      <c r="E3" s="7" t="inlineStr">
        <is>
          <t>Người phụ trách</t>
        </is>
      </c>
      <c r="F3" s="7" t="inlineStr">
        <is>
          <t>Phối hợp</t>
        </is>
      </c>
      <c r="G3" s="7" t="inlineStr">
        <is>
          <t>Tuần BĐ</t>
        </is>
      </c>
      <c r="H3" s="7" t="inlineStr">
        <is>
          <t>Tuần KT</t>
        </is>
      </c>
      <c r="I3" s="7" t="inlineStr">
        <is>
          <t>Giờ</t>
        </is>
      </c>
      <c r="J3" s="7" t="inlineStr">
        <is>
          <t>Ưu tiên</t>
        </is>
      </c>
      <c r="K3" s="7" t="inlineStr">
        <is>
          <t>Phụ thuộc</t>
        </is>
      </c>
      <c r="L3" s="7" t="inlineStr">
        <is>
          <t>Deliverable</t>
        </is>
      </c>
      <c r="M3" s="7" t="inlineStr">
        <is>
          <t>Tiêu chí nghiệm thu</t>
        </is>
      </c>
      <c r="N3" s="7" t="inlineStr">
        <is>
          <t>Trạng thái</t>
        </is>
      </c>
      <c r="O3" s="7" t="inlineStr">
        <is>
          <t>% hoàn thành</t>
        </is>
      </c>
    </row>
    <row r="4">
      <c r="A4" s="3" t="inlineStr">
        <is>
          <t>P01</t>
        </is>
      </c>
      <c r="B4" s="3" t="inlineStr">
        <is>
          <t>Khởi động</t>
        </is>
      </c>
      <c r="C4" s="3" t="inlineStr">
        <is>
          <t>Kiến trúc</t>
        </is>
      </c>
      <c r="D4" s="3" t="inlineStr">
        <is>
          <t>Chốt kiến trúc, module, luồng dữ liệu và ADR</t>
        </is>
      </c>
      <c r="E4" s="3" t="inlineStr">
        <is>
          <t>Người A</t>
        </is>
      </c>
      <c r="F4" s="3" t="inlineStr">
        <is>
          <t>Người B</t>
        </is>
      </c>
      <c r="G4" s="3" t="n">
        <v>1</v>
      </c>
      <c r="H4" s="3" t="n">
        <v>1</v>
      </c>
      <c r="I4" s="3" t="n">
        <v>6</v>
      </c>
      <c r="J4" s="3" t="inlineStr">
        <is>
          <t>P0</t>
        </is>
      </c>
      <c r="K4" s="3" t="inlineStr"/>
      <c r="L4" s="3" t="inlineStr">
        <is>
          <t>Sơ đồ kiến trúc + ADR</t>
        </is>
      </c>
      <c r="M4" s="3" t="inlineStr">
        <is>
          <t>Nhóm duyệt; thể hiện extension/server/AI/DB và ranh giới dữ liệu</t>
        </is>
      </c>
      <c r="N4" s="3" t="inlineStr">
        <is>
          <t>Chưa bắt đầu</t>
        </is>
      </c>
      <c r="O4" s="8" t="n">
        <v>0</v>
      </c>
    </row>
    <row r="5">
      <c r="A5" s="3" t="inlineStr">
        <is>
          <t>P02</t>
        </is>
      </c>
      <c r="B5" s="3" t="inlineStr">
        <is>
          <t>Khởi động</t>
        </is>
      </c>
      <c r="C5" s="3" t="inlineStr">
        <is>
          <t>API &amp; dữ liệu</t>
        </is>
      </c>
      <c r="D5" s="3" t="inlineStr">
        <is>
          <t>Chuẩn hoá endpoint và data contract; xử lý xung đột /notes/quick, /notes, /notes/ragged</t>
        </is>
      </c>
      <c r="E5" s="3" t="inlineStr">
        <is>
          <t>Người B</t>
        </is>
      </c>
      <c r="F5" s="3" t="inlineStr">
        <is>
          <t>Người A</t>
        </is>
      </c>
      <c r="G5" s="3" t="n">
        <v>1</v>
      </c>
      <c r="H5" s="3" t="n">
        <v>1</v>
      </c>
      <c r="I5" s="3" t="n">
        <v>8</v>
      </c>
      <c r="J5" s="3" t="inlineStr">
        <is>
          <t>P0</t>
        </is>
      </c>
      <c r="K5" s="3" t="inlineStr">
        <is>
          <t>P01</t>
        </is>
      </c>
      <c r="L5" s="3" t="inlineStr">
        <is>
          <t>OpenAPI draft + schema</t>
        </is>
      </c>
      <c r="M5" s="3" t="inlineStr">
        <is>
          <t>Không còn endpoint mâu thuẫn; có request/response/error mẫu</t>
        </is>
      </c>
      <c r="N5" s="3" t="inlineStr">
        <is>
          <t>Chưa bắt đầu</t>
        </is>
      </c>
      <c r="O5" s="8" t="n">
        <v>0</v>
      </c>
    </row>
    <row r="6">
      <c r="A6" s="3" t="inlineStr">
        <is>
          <t>P03</t>
        </is>
      </c>
      <c r="B6" s="3" t="inlineStr">
        <is>
          <t>Khởi động</t>
        </is>
      </c>
      <c r="C6" s="3" t="inlineStr">
        <is>
          <t>AI</t>
        </is>
      </c>
      <c r="D6" s="3" t="inlineStr">
        <is>
          <t>Spike lựa chọn AI Provider: Dify hay service riêng; đo khả năng chunk/embed/rerank</t>
        </is>
      </c>
      <c r="E6" s="3" t="inlineStr">
        <is>
          <t>Người C</t>
        </is>
      </c>
      <c r="F6" s="3" t="inlineStr">
        <is>
          <t>Người B</t>
        </is>
      </c>
      <c r="G6" s="3" t="n">
        <v>1</v>
      </c>
      <c r="H6" s="3" t="n">
        <v>1</v>
      </c>
      <c r="I6" s="3" t="n">
        <v>8</v>
      </c>
      <c r="J6" s="3" t="inlineStr">
        <is>
          <t>P0</t>
        </is>
      </c>
      <c r="K6" s="3" t="inlineStr">
        <is>
          <t>P01</t>
        </is>
      </c>
      <c r="L6" s="3" t="inlineStr">
        <is>
          <t>Báo cáo spike + quyết định</t>
        </is>
      </c>
      <c r="M6" s="3" t="inlineStr">
        <is>
          <t>Có tiêu chí latency, chi phí/quota, khả năng chạy local</t>
        </is>
      </c>
      <c r="N6" s="3" t="inlineStr">
        <is>
          <t>Chưa bắt đầu</t>
        </is>
      </c>
      <c r="O6" s="8" t="n">
        <v>0</v>
      </c>
    </row>
    <row r="7">
      <c r="A7" s="3" t="inlineStr">
        <is>
          <t>P04</t>
        </is>
      </c>
      <c r="B7" s="3" t="inlineStr">
        <is>
          <t>Khởi động</t>
        </is>
      </c>
      <c r="C7" s="3" t="inlineStr">
        <is>
          <t>UX</t>
        </is>
      </c>
      <c r="D7" s="3" t="inlineStr">
        <is>
          <t>Vẽ user flow và wireframe cho 5 chức năng trong kịch bản</t>
        </is>
      </c>
      <c r="E7" s="3" t="inlineStr">
        <is>
          <t>Người D</t>
        </is>
      </c>
      <c r="F7" s="3" t="inlineStr">
        <is>
          <t>Người A</t>
        </is>
      </c>
      <c r="G7" s="3" t="n">
        <v>1</v>
      </c>
      <c r="H7" s="3" t="n">
        <v>1</v>
      </c>
      <c r="I7" s="3" t="n">
        <v>8</v>
      </c>
      <c r="J7" s="3" t="inlineStr">
        <is>
          <t>P0</t>
        </is>
      </c>
      <c r="K7" s="3" t="inlineStr">
        <is>
          <t>P01</t>
        </is>
      </c>
      <c r="L7" s="3" t="inlineStr">
        <is>
          <t>Wireframe + user flow</t>
        </is>
      </c>
      <c r="M7" s="3" t="inlineStr">
        <is>
          <t>Bao phủ happy path, loading, empty, error, undo</t>
        </is>
      </c>
      <c r="N7" s="3" t="inlineStr">
        <is>
          <t>Chưa bắt đầu</t>
        </is>
      </c>
      <c r="O7" s="8" t="n">
        <v>0</v>
      </c>
    </row>
    <row r="8">
      <c r="A8" s="3" t="inlineStr">
        <is>
          <t>P05</t>
        </is>
      </c>
      <c r="B8" s="3" t="inlineStr">
        <is>
          <t>Nền tảng</t>
        </is>
      </c>
      <c r="C8" s="3" t="inlineStr">
        <is>
          <t>Extension</t>
        </is>
      </c>
      <c r="D8" s="3" t="inlineStr">
        <is>
          <t>Khởi tạo TypeScript + Manifest V3, build/lint/test và cấu trúc module</t>
        </is>
      </c>
      <c r="E8" s="3" t="inlineStr">
        <is>
          <t>Người A</t>
        </is>
      </c>
      <c r="F8" s="3" t="inlineStr">
        <is>
          <t>Người D</t>
        </is>
      </c>
      <c r="G8" s="3" t="n">
        <v>1</v>
      </c>
      <c r="H8" s="3" t="n">
        <v>2</v>
      </c>
      <c r="I8" s="3" t="n">
        <v>8</v>
      </c>
      <c r="J8" s="3" t="inlineStr">
        <is>
          <t>P0</t>
        </is>
      </c>
      <c r="K8" s="3" t="inlineStr">
        <is>
          <t>P01</t>
        </is>
      </c>
      <c r="L8" s="3" t="inlineStr">
        <is>
          <t>Extension skeleton</t>
        </is>
      </c>
      <c r="M8" s="3" t="inlineStr">
        <is>
          <t>Cài được ở developer mode; build và lint pass</t>
        </is>
      </c>
      <c r="N8" s="3" t="inlineStr">
        <is>
          <t>Chưa bắt đầu</t>
        </is>
      </c>
      <c r="O8" s="8" t="n">
        <v>0</v>
      </c>
    </row>
    <row r="9">
      <c r="A9" s="3" t="inlineStr">
        <is>
          <t>P06</t>
        </is>
      </c>
      <c r="B9" s="3" t="inlineStr">
        <is>
          <t>Nền tảng</t>
        </is>
      </c>
      <c r="C9" s="3" t="inlineStr">
        <is>
          <t>Backend</t>
        </is>
      </c>
      <c r="D9" s="3" t="inlineStr">
        <is>
          <t>Khởi tạo Python API, cấu hình môi trường, health check và test framework</t>
        </is>
      </c>
      <c r="E9" s="3" t="inlineStr">
        <is>
          <t>Người B</t>
        </is>
      </c>
      <c r="F9" s="3" t="inlineStr">
        <is>
          <t>Người C</t>
        </is>
      </c>
      <c r="G9" s="3" t="n">
        <v>1</v>
      </c>
      <c r="H9" s="3" t="n">
        <v>2</v>
      </c>
      <c r="I9" s="3" t="n">
        <v>8</v>
      </c>
      <c r="J9" s="3" t="inlineStr">
        <is>
          <t>P0</t>
        </is>
      </c>
      <c r="K9" s="3" t="inlineStr">
        <is>
          <t>P01</t>
        </is>
      </c>
      <c r="L9" s="3" t="inlineStr">
        <is>
          <t>Backend skeleton</t>
        </is>
      </c>
      <c r="M9" s="3" t="inlineStr">
        <is>
          <t>Health check chạy; test smoke pass; cấu hình tách dev/test</t>
        </is>
      </c>
      <c r="N9" s="3" t="inlineStr">
        <is>
          <t>Chưa bắt đầu</t>
        </is>
      </c>
      <c r="O9" s="8" t="n">
        <v>0</v>
      </c>
    </row>
    <row r="10">
      <c r="A10" s="3" t="inlineStr">
        <is>
          <t>P07</t>
        </is>
      </c>
      <c r="B10" s="3" t="inlineStr">
        <is>
          <t>Nền tảng</t>
        </is>
      </c>
      <c r="C10" s="3" t="inlineStr">
        <is>
          <t>AI</t>
        </is>
      </c>
      <c r="D10" s="3" t="inlineStr">
        <is>
          <t>Khởi tạo AI service/adapter cho local provider và mock provider</t>
        </is>
      </c>
      <c r="E10" s="3" t="inlineStr">
        <is>
          <t>Người C</t>
        </is>
      </c>
      <c r="F10" s="3" t="inlineStr">
        <is>
          <t>Người B</t>
        </is>
      </c>
      <c r="G10" s="3" t="n">
        <v>1</v>
      </c>
      <c r="H10" s="3" t="n">
        <v>2</v>
      </c>
      <c r="I10" s="3" t="n">
        <v>8</v>
      </c>
      <c r="J10" s="3" t="inlineStr">
        <is>
          <t>P0</t>
        </is>
      </c>
      <c r="K10" s="3" t="inlineStr">
        <is>
          <t>P03,P06</t>
        </is>
      </c>
      <c r="L10" s="3" t="inlineStr">
        <is>
          <t>AI adapter skeleton</t>
        </is>
      </c>
      <c r="M10" s="3" t="inlineStr">
        <is>
          <t>Đổi provider qua config; có mock deterministic cho test</t>
        </is>
      </c>
      <c r="N10" s="3" t="inlineStr">
        <is>
          <t>Chưa bắt đầu</t>
        </is>
      </c>
      <c r="O10" s="8" t="n">
        <v>0</v>
      </c>
    </row>
    <row r="11">
      <c r="A11" s="3" t="inlineStr">
        <is>
          <t>P08</t>
        </is>
      </c>
      <c r="B11" s="3" t="inlineStr">
        <is>
          <t>Nền tảng</t>
        </is>
      </c>
      <c r="C11" s="3" t="inlineStr">
        <is>
          <t>QA</t>
        </is>
      </c>
      <c r="D11" s="3" t="inlineStr">
        <is>
          <t>Lập test strategy, traceability matrix từ kịch bản và Definition of Done</t>
        </is>
      </c>
      <c r="E11" s="3" t="inlineStr">
        <is>
          <t>Người D</t>
        </is>
      </c>
      <c r="F11" s="3" t="inlineStr">
        <is>
          <t>Người A</t>
        </is>
      </c>
      <c r="G11" s="3" t="n">
        <v>1</v>
      </c>
      <c r="H11" s="3" t="n">
        <v>2</v>
      </c>
      <c r="I11" s="3" t="n">
        <v>6</v>
      </c>
      <c r="J11" s="3" t="inlineStr">
        <is>
          <t>P0</t>
        </is>
      </c>
      <c r="K11" s="3" t="inlineStr">
        <is>
          <t>P04</t>
        </is>
      </c>
      <c r="L11" s="3" t="inlineStr">
        <is>
          <t>Test plan + RTM</t>
        </is>
      </c>
      <c r="M11" s="3" t="inlineStr">
        <is>
          <t>Mỗi nhánh chính có test case và người chịu trách nhiệm</t>
        </is>
      </c>
      <c r="N11" s="3" t="inlineStr">
        <is>
          <t>Chưa bắt đầu</t>
        </is>
      </c>
      <c r="O11" s="8" t="n">
        <v>0</v>
      </c>
    </row>
    <row r="12">
      <c r="A12" s="3" t="inlineStr">
        <is>
          <t>A01</t>
        </is>
      </c>
      <c r="B12" s="3" t="inlineStr">
        <is>
          <t>Nền tảng</t>
        </is>
      </c>
      <c r="C12" s="3" t="inlineStr">
        <is>
          <t>Tài khoản</t>
        </is>
      </c>
      <c r="D12" s="3" t="inlineStr">
        <is>
          <t>Thiết kế schema user/note/chunk/category/quota và migration</t>
        </is>
      </c>
      <c r="E12" s="3" t="inlineStr">
        <is>
          <t>Người B</t>
        </is>
      </c>
      <c r="F12" s="3" t="inlineStr">
        <is>
          <t>Người C</t>
        </is>
      </c>
      <c r="G12" s="3" t="n">
        <v>2</v>
      </c>
      <c r="H12" s="3" t="n">
        <v>2</v>
      </c>
      <c r="I12" s="3" t="n">
        <v>8</v>
      </c>
      <c r="J12" s="3" t="inlineStr">
        <is>
          <t>P0</t>
        </is>
      </c>
      <c r="K12" s="3" t="inlineStr">
        <is>
          <t>P02,P06</t>
        </is>
      </c>
      <c r="L12" s="3" t="inlineStr">
        <is>
          <t>Migration + ERD</t>
        </is>
      </c>
      <c r="M12" s="3" t="inlineStr">
        <is>
          <t>Có UUID, ownership, timestamp, index và ràng buộc dữ liệu</t>
        </is>
      </c>
      <c r="N12" s="3" t="inlineStr">
        <is>
          <t>Chưa bắt đầu</t>
        </is>
      </c>
      <c r="O12" s="8" t="n">
        <v>0</v>
      </c>
    </row>
    <row r="13">
      <c r="A13" s="3" t="inlineStr">
        <is>
          <t>A02</t>
        </is>
      </c>
      <c r="B13" s="3" t="inlineStr">
        <is>
          <t>Nền tảng</t>
        </is>
      </c>
      <c r="C13" s="3" t="inlineStr">
        <is>
          <t>Tài khoản</t>
        </is>
      </c>
      <c r="D13" s="3" t="inlineStr">
        <is>
          <t>Xây dựng đăng ký/đăng nhập, hash mật khẩu và token/session</t>
        </is>
      </c>
      <c r="E13" s="3" t="inlineStr">
        <is>
          <t>Người B</t>
        </is>
      </c>
      <c r="F13" s="3" t="inlineStr">
        <is>
          <t>Người A</t>
        </is>
      </c>
      <c r="G13" s="3" t="n">
        <v>2</v>
      </c>
      <c r="H13" s="3" t="n">
        <v>3</v>
      </c>
      <c r="I13" s="3" t="n">
        <v>10</v>
      </c>
      <c r="J13" s="3" t="inlineStr">
        <is>
          <t>P0</t>
        </is>
      </c>
      <c r="K13" s="3" t="inlineStr">
        <is>
          <t>A01</t>
        </is>
      </c>
      <c r="L13" s="3" t="inlineStr">
        <is>
          <t>Auth API</t>
        </is>
      </c>
      <c r="M13" s="3" t="inlineStr">
        <is>
          <t>Không lưu mật khẩu thô; test success/failure/expiry pass</t>
        </is>
      </c>
      <c r="N13" s="3" t="inlineStr">
        <is>
          <t>Chưa bắt đầu</t>
        </is>
      </c>
      <c r="O13" s="8" t="n">
        <v>0</v>
      </c>
    </row>
    <row r="14">
      <c r="A14" s="3" t="inlineStr">
        <is>
          <t>A03</t>
        </is>
      </c>
      <c r="B14" s="3" t="inlineStr">
        <is>
          <t>Nền tảng</t>
        </is>
      </c>
      <c r="C14" s="3" t="inlineStr">
        <is>
          <t>Tài khoản</t>
        </is>
      </c>
      <c r="D14" s="3" t="inlineStr">
        <is>
          <t>Tích hợp đăng nhập và lưu token an toàn trong extension</t>
        </is>
      </c>
      <c r="E14" s="3" t="inlineStr">
        <is>
          <t>Người A</t>
        </is>
      </c>
      <c r="F14" s="3" t="inlineStr">
        <is>
          <t>Người B</t>
        </is>
      </c>
      <c r="G14" s="3" t="n">
        <v>2</v>
      </c>
      <c r="H14" s="3" t="n">
        <v>3</v>
      </c>
      <c r="I14" s="3" t="n">
        <v>8</v>
      </c>
      <c r="J14" s="3" t="inlineStr">
        <is>
          <t>P0</t>
        </is>
      </c>
      <c r="K14" s="3" t="inlineStr">
        <is>
          <t>A02,P05</t>
        </is>
      </c>
      <c r="L14" s="3" t="inlineStr">
        <is>
          <t>Auth UI + client</t>
        </is>
      </c>
      <c r="M14" s="3" t="inlineStr">
        <is>
          <t>Login/logout hoạt động; không log token; xử lý token hết hạn</t>
        </is>
      </c>
      <c r="N14" s="3" t="inlineStr">
        <is>
          <t>Chưa bắt đầu</t>
        </is>
      </c>
      <c r="O14" s="8" t="n">
        <v>0</v>
      </c>
    </row>
    <row r="15">
      <c r="A15" s="3" t="inlineStr">
        <is>
          <t>A04</t>
        </is>
      </c>
      <c r="B15" s="3" t="inlineStr">
        <is>
          <t>Nền tảng</t>
        </is>
      </c>
      <c r="C15" s="3" t="inlineStr">
        <is>
          <t>Quota</t>
        </is>
      </c>
      <c r="D15" s="3" t="inlineStr">
        <is>
          <t>Xây dựng quota middleware và nhật ký tiêu hao AI</t>
        </is>
      </c>
      <c r="E15" s="3" t="inlineStr">
        <is>
          <t>Người B</t>
        </is>
      </c>
      <c r="F15" s="3" t="inlineStr">
        <is>
          <t>Người C</t>
        </is>
      </c>
      <c r="G15" s="3" t="n">
        <v>3</v>
      </c>
      <c r="H15" s="3" t="n">
        <v>3</v>
      </c>
      <c r="I15" s="3" t="n">
        <v>8</v>
      </c>
      <c r="J15" s="3" t="inlineStr">
        <is>
          <t>P0</t>
        </is>
      </c>
      <c r="K15" s="3" t="inlineStr">
        <is>
          <t>A01,A02</t>
        </is>
      </c>
      <c r="L15" s="3" t="inlineStr">
        <is>
          <t>Quota service</t>
        </is>
      </c>
      <c r="M15" s="3" t="inlineStr">
        <is>
          <t>Chặn đúng khi hết quota; cập nhật nguyên tử; có audit</t>
        </is>
      </c>
      <c r="N15" s="3" t="inlineStr">
        <is>
          <t>Chưa bắt đầu</t>
        </is>
      </c>
      <c r="O15" s="8" t="n">
        <v>0</v>
      </c>
    </row>
    <row r="16">
      <c r="A16" s="3" t="inlineStr">
        <is>
          <t>A05</t>
        </is>
      </c>
      <c r="B16" s="3" t="inlineStr">
        <is>
          <t>Nền tảng</t>
        </is>
      </c>
      <c r="C16" s="3" t="inlineStr">
        <is>
          <t>UI</t>
        </is>
      </c>
      <c r="D16" s="3" t="inlineStr">
        <is>
          <t>Xây design system và app shell: loading/empty/error/toast/modal</t>
        </is>
      </c>
      <c r="E16" s="3" t="inlineStr">
        <is>
          <t>Người D</t>
        </is>
      </c>
      <c r="F16" s="3" t="inlineStr">
        <is>
          <t>Người A</t>
        </is>
      </c>
      <c r="G16" s="3" t="n">
        <v>2</v>
      </c>
      <c r="H16" s="3" t="n">
        <v>3</v>
      </c>
      <c r="I16" s="3" t="n">
        <v>8</v>
      </c>
      <c r="J16" s="3" t="inlineStr">
        <is>
          <t>P0</t>
        </is>
      </c>
      <c r="K16" s="3" t="inlineStr">
        <is>
          <t>P04,P05</t>
        </is>
      </c>
      <c r="L16" s="3" t="inlineStr">
        <is>
          <t>UI component set</t>
        </is>
      </c>
      <c r="M16" s="3" t="inlineStr">
        <is>
          <t>Các màn hình dùng chung component; keyboard usable</t>
        </is>
      </c>
      <c r="N16" s="3" t="inlineStr">
        <is>
          <t>Chưa bắt đầu</t>
        </is>
      </c>
      <c r="O16" s="8" t="n">
        <v>0</v>
      </c>
    </row>
    <row r="17">
      <c r="A17" s="3" t="inlineStr">
        <is>
          <t>N01</t>
        </is>
      </c>
      <c r="B17" s="3" t="inlineStr">
        <is>
          <t>MVP Ghi chú</t>
        </is>
      </c>
      <c r="C17" s="3" t="inlineStr">
        <is>
          <t>Extension</t>
        </is>
      </c>
      <c r="D17" s="3" t="inlineStr">
        <is>
          <t>Bắt selection, context menu và phím Ctrl-Alt-N</t>
        </is>
      </c>
      <c r="E17" s="3" t="inlineStr">
        <is>
          <t>Người A</t>
        </is>
      </c>
      <c r="F17" s="3" t="inlineStr">
        <is>
          <t>Người D</t>
        </is>
      </c>
      <c r="G17" s="3" t="n">
        <v>3</v>
      </c>
      <c r="H17" s="3" t="n">
        <v>3</v>
      </c>
      <c r="I17" s="3" t="n">
        <v>8</v>
      </c>
      <c r="J17" s="3" t="inlineStr">
        <is>
          <t>P0</t>
        </is>
      </c>
      <c r="K17" s="3" t="inlineStr">
        <is>
          <t>P05</t>
        </is>
      </c>
      <c r="L17" s="3" t="inlineStr">
        <is>
          <t>Selection capture</t>
        </is>
      </c>
      <c r="M17" s="3" t="inlineStr">
        <is>
          <t>Lấy text + URL + title; hoạt động trên 3 trang mẫu</t>
        </is>
      </c>
      <c r="N17" s="3" t="inlineStr">
        <is>
          <t>Chưa bắt đầu</t>
        </is>
      </c>
      <c r="O17" s="8" t="n">
        <v>0</v>
      </c>
    </row>
    <row r="18">
      <c r="A18" s="3" t="inlineStr">
        <is>
          <t>N02</t>
        </is>
      </c>
      <c r="B18" s="3" t="inlineStr">
        <is>
          <t>MVP Ghi chú</t>
        </is>
      </c>
      <c r="C18" s="3" t="inlineStr">
        <is>
          <t>UI</t>
        </is>
      </c>
      <c r="D18" s="3" t="inlineStr">
        <is>
          <t>Popup snippet, đếm ngược 5 giây và hoàn tác Ctrl-Alt-Z</t>
        </is>
      </c>
      <c r="E18" s="3" t="inlineStr">
        <is>
          <t>Người D</t>
        </is>
      </c>
      <c r="F18" s="3" t="inlineStr">
        <is>
          <t>Người A</t>
        </is>
      </c>
      <c r="G18" s="3" t="n">
        <v>3</v>
      </c>
      <c r="H18" s="3" t="n">
        <v>4</v>
      </c>
      <c r="I18" s="3" t="n">
        <v>8</v>
      </c>
      <c r="J18" s="3" t="inlineStr">
        <is>
          <t>P0</t>
        </is>
      </c>
      <c r="K18" s="3" t="inlineStr">
        <is>
          <t>A05,N01</t>
        </is>
      </c>
      <c r="L18" s="3" t="inlineStr">
        <is>
          <t>Undo popup</t>
        </is>
      </c>
      <c r="M18" s="3" t="inlineStr">
        <is>
          <t>Undo hủy note mới nhất; trạng thái hiển thị rõ</t>
        </is>
      </c>
      <c r="N18" s="3" t="inlineStr">
        <is>
          <t>Chưa bắt đầu</t>
        </is>
      </c>
      <c r="O18" s="8" t="n">
        <v>0</v>
      </c>
    </row>
    <row r="19">
      <c r="A19" s="3" t="inlineStr">
        <is>
          <t>N03</t>
        </is>
      </c>
      <c r="B19" s="3" t="inlineStr">
        <is>
          <t>MVP Ghi chú</t>
        </is>
      </c>
      <c r="C19" s="3" t="inlineStr">
        <is>
          <t>Backend</t>
        </is>
      </c>
      <c r="D19" s="3" t="inlineStr">
        <is>
          <t>Cài API tạo note nhanh, xác thực ownership và lưu PostgreSQL</t>
        </is>
      </c>
      <c r="E19" s="3" t="inlineStr">
        <is>
          <t>Người B</t>
        </is>
      </c>
      <c r="F19" s="3" t="inlineStr">
        <is>
          <t>Người A</t>
        </is>
      </c>
      <c r="G19" s="3" t="n">
        <v>3</v>
      </c>
      <c r="H19" s="3" t="n">
        <v>4</v>
      </c>
      <c r="I19" s="3" t="n">
        <v>10</v>
      </c>
      <c r="J19" s="3" t="inlineStr">
        <is>
          <t>P0</t>
        </is>
      </c>
      <c r="K19" s="3" t="inlineStr">
        <is>
          <t>A01,A02,P02</t>
        </is>
      </c>
      <c r="L19" s="3" t="inlineStr">
        <is>
          <t>POST note API</t>
        </is>
      </c>
      <c r="M19" s="3" t="inlineStr">
        <is>
          <t>Validation/idempotency/error contract và integration test pass</t>
        </is>
      </c>
      <c r="N19" s="3" t="inlineStr">
        <is>
          <t>Chưa bắt đầu</t>
        </is>
      </c>
      <c r="O19" s="8" t="n">
        <v>0</v>
      </c>
    </row>
    <row r="20">
      <c r="A20" s="3" t="inlineStr">
        <is>
          <t>N04</t>
        </is>
      </c>
      <c r="B20" s="3" t="inlineStr">
        <is>
          <t>MVP Ghi chú</t>
        </is>
      </c>
      <c r="C20" s="3" t="inlineStr">
        <is>
          <t>AI</t>
        </is>
      </c>
      <c r="D20" s="3" t="inlineStr">
        <is>
          <t>Cài semantic chunking + embedding, định danh chunk UUID</t>
        </is>
      </c>
      <c r="E20" s="3" t="inlineStr">
        <is>
          <t>Người C</t>
        </is>
      </c>
      <c r="F20" s="3" t="inlineStr">
        <is>
          <t>Người B</t>
        </is>
      </c>
      <c r="G20" s="3" t="n">
        <v>3</v>
      </c>
      <c r="H20" s="3" t="n">
        <v>4</v>
      </c>
      <c r="I20" s="3" t="n">
        <v>10</v>
      </c>
      <c r="J20" s="3" t="inlineStr">
        <is>
          <t>P0</t>
        </is>
      </c>
      <c r="K20" s="3" t="inlineStr">
        <is>
          <t>P07</t>
        </is>
      </c>
      <c r="L20" s="3" t="inlineStr">
        <is>
          <t>Chunk/embed pipeline</t>
        </is>
      </c>
      <c r="M20" s="3" t="inlineStr">
        <is>
          <t>Giữ liên kết note–chunk; xử lý text dài và lỗi provider</t>
        </is>
      </c>
      <c r="N20" s="3" t="inlineStr">
        <is>
          <t>Chưa bắt đầu</t>
        </is>
      </c>
      <c r="O20" s="8" t="n">
        <v>0</v>
      </c>
    </row>
    <row r="21">
      <c r="A21" s="3" t="inlineStr">
        <is>
          <t>N05</t>
        </is>
      </c>
      <c r="B21" s="3" t="inlineStr">
        <is>
          <t>MVP Ghi chú</t>
        </is>
      </c>
      <c r="C21" s="3" t="inlineStr">
        <is>
          <t>AI/Backend</t>
        </is>
      </c>
      <c r="D21" s="3" t="inlineStr">
        <is>
          <t>Lưu vector pgvector và cập nhật quota sau xử lý</t>
        </is>
      </c>
      <c r="E21" s="3" t="inlineStr">
        <is>
          <t>Người C</t>
        </is>
      </c>
      <c r="F21" s="3" t="inlineStr">
        <is>
          <t>Người B</t>
        </is>
      </c>
      <c r="G21" s="3" t="n">
        <v>4</v>
      </c>
      <c r="H21" s="3" t="n">
        <v>4</v>
      </c>
      <c r="I21" s="3" t="n">
        <v>8</v>
      </c>
      <c r="J21" s="3" t="inlineStr">
        <is>
          <t>P0</t>
        </is>
      </c>
      <c r="K21" s="3" t="inlineStr">
        <is>
          <t>N03,N04,A04</t>
        </is>
      </c>
      <c r="L21" s="3" t="inlineStr">
        <is>
          <t>Vector persistence</t>
        </is>
      </c>
      <c r="M21" s="3" t="inlineStr">
        <is>
          <t>Transaction nhất quán; không trừ quota khi silent skip</t>
        </is>
      </c>
      <c r="N21" s="3" t="inlineStr">
        <is>
          <t>Chưa bắt đầu</t>
        </is>
      </c>
      <c r="O21" s="8" t="n">
        <v>0</v>
      </c>
    </row>
    <row r="22">
      <c r="A22" s="3" t="inlineStr">
        <is>
          <t>N06</t>
        </is>
      </c>
      <c r="B22" s="3" t="inlineStr">
        <is>
          <t>MVP Ghi chú</t>
        </is>
      </c>
      <c r="C22" s="3" t="inlineStr">
        <is>
          <t>Extension</t>
        </is>
      </c>
      <c r="D22" s="3" t="inlineStr">
        <is>
          <t>Local state cho hàng chờ, retry và trạng thái note</t>
        </is>
      </c>
      <c r="E22" s="3" t="inlineStr">
        <is>
          <t>Người A</t>
        </is>
      </c>
      <c r="F22" s="3" t="inlineStr">
        <is>
          <t>Người B</t>
        </is>
      </c>
      <c r="G22" s="3" t="n">
        <v>4</v>
      </c>
      <c r="H22" s="3" t="n">
        <v>4</v>
      </c>
      <c r="I22" s="3" t="n">
        <v>8</v>
      </c>
      <c r="J22" s="3" t="inlineStr">
        <is>
          <t>P0</t>
        </is>
      </c>
      <c r="K22" s="3" t="inlineStr">
        <is>
          <t>N02,N03</t>
        </is>
      </c>
      <c r="L22" s="3" t="inlineStr">
        <is>
          <t>Queue/state store</t>
        </is>
      </c>
      <c r="M22" s="3" t="inlineStr">
        <is>
          <t>Không tạo note trùng khi retry; hiển thị pending/success/error</t>
        </is>
      </c>
      <c r="N22" s="3" t="inlineStr">
        <is>
          <t>Chưa bắt đầu</t>
        </is>
      </c>
      <c r="O22" s="8" t="n">
        <v>0</v>
      </c>
    </row>
    <row r="23">
      <c r="A23" s="3" t="inlineStr">
        <is>
          <t>N07</t>
        </is>
      </c>
      <c r="B23" s="3" t="inlineStr">
        <is>
          <t>MVP Ghi chú</t>
        </is>
      </c>
      <c r="C23" s="3" t="inlineStr">
        <is>
          <t>QA</t>
        </is>
      </c>
      <c r="D23" s="3" t="inlineStr">
        <is>
          <t>Kiểm thử E2E ghi chú nhanh, undo, hết quota và mất mạng</t>
        </is>
      </c>
      <c r="E23" s="3" t="inlineStr">
        <is>
          <t>Người D</t>
        </is>
      </c>
      <c r="F23" s="3" t="inlineStr">
        <is>
          <t>Người A</t>
        </is>
      </c>
      <c r="G23" s="3" t="n">
        <v>4</v>
      </c>
      <c r="H23" s="3" t="n">
        <v>4</v>
      </c>
      <c r="I23" s="3" t="n">
        <v>6</v>
      </c>
      <c r="J23" s="3" t="inlineStr">
        <is>
          <t>P0</t>
        </is>
      </c>
      <c r="K23" s="3" t="inlineStr">
        <is>
          <t>N02,N03,N04,N05,N06</t>
        </is>
      </c>
      <c r="L23" s="3" t="inlineStr">
        <is>
          <t>E2E suite + biên bản</t>
        </is>
      </c>
      <c r="M23" s="3" t="inlineStr">
        <is>
          <t>Các ca P0 pass; lỗi có bằng chứng và owner</t>
        </is>
      </c>
      <c r="N23" s="3" t="inlineStr">
        <is>
          <t>Chưa bắt đầu</t>
        </is>
      </c>
      <c r="O23" s="8" t="n">
        <v>0</v>
      </c>
    </row>
    <row r="24">
      <c r="A24" s="3" t="inlineStr">
        <is>
          <t>C01</t>
        </is>
      </c>
      <c r="B24" s="3" t="inlineStr">
        <is>
          <t>Thư viện note</t>
        </is>
      </c>
      <c r="C24" s="3" t="inlineStr">
        <is>
          <t>Backend</t>
        </is>
      </c>
      <c r="D24" s="3" t="inlineStr">
        <is>
          <t>API GET/PUT/DELETE note, filter metadata/category và bulk delete</t>
        </is>
      </c>
      <c r="E24" s="3" t="inlineStr">
        <is>
          <t>Người B</t>
        </is>
      </c>
      <c r="F24" s="3" t="inlineStr">
        <is>
          <t>Người A</t>
        </is>
      </c>
      <c r="G24" s="3" t="n">
        <v>4</v>
      </c>
      <c r="H24" s="3" t="n">
        <v>5</v>
      </c>
      <c r="I24" s="3" t="n">
        <v>10</v>
      </c>
      <c r="J24" s="3" t="inlineStr">
        <is>
          <t>P0</t>
        </is>
      </c>
      <c r="K24" s="3" t="inlineStr">
        <is>
          <t>N03</t>
        </is>
      </c>
      <c r="L24" s="3" t="inlineStr">
        <is>
          <t>CRUD API</t>
        </is>
      </c>
      <c r="M24" s="3" t="inlineStr">
        <is>
          <t>Ownership bắt buộc; filter/pagination; bulk delete an toàn</t>
        </is>
      </c>
      <c r="N24" s="3" t="inlineStr">
        <is>
          <t>Chưa bắt đầu</t>
        </is>
      </c>
      <c r="O24" s="8" t="n">
        <v>0</v>
      </c>
    </row>
    <row r="25">
      <c r="A25" s="3" t="inlineStr">
        <is>
          <t>C02</t>
        </is>
      </c>
      <c r="B25" s="3" t="inlineStr">
        <is>
          <t>Thư viện note</t>
        </is>
      </c>
      <c r="C25" s="3" t="inlineStr">
        <is>
          <t>Extension</t>
        </is>
      </c>
      <c r="D25" s="3" t="inlineStr">
        <is>
          <t>IndexedDB cache/offline storage và chiến lược sync</t>
        </is>
      </c>
      <c r="E25" s="3" t="inlineStr">
        <is>
          <t>Người A</t>
        </is>
      </c>
      <c r="F25" s="3" t="inlineStr">
        <is>
          <t>Người B</t>
        </is>
      </c>
      <c r="G25" s="3" t="n">
        <v>4</v>
      </c>
      <c r="H25" s="3" t="n">
        <v>5</v>
      </c>
      <c r="I25" s="3" t="n">
        <v>10</v>
      </c>
      <c r="J25" s="3" t="inlineStr">
        <is>
          <t>P0</t>
        </is>
      </c>
      <c r="K25" s="3" t="inlineStr">
        <is>
          <t>N06,C01</t>
        </is>
      </c>
      <c r="L25" s="3" t="inlineStr">
        <is>
          <t>Cache/sync module</t>
        </is>
      </c>
      <c r="M25" s="3" t="inlineStr">
        <is>
          <t>Cache-first; sync theo updatedAt; có quy tắc xử lý xung đột</t>
        </is>
      </c>
      <c r="N25" s="3" t="inlineStr">
        <is>
          <t>Chưa bắt đầu</t>
        </is>
      </c>
      <c r="O25" s="8" t="n">
        <v>0</v>
      </c>
    </row>
    <row r="26">
      <c r="A26" s="3" t="inlineStr">
        <is>
          <t>C03</t>
        </is>
      </c>
      <c r="B26" s="3" t="inlineStr">
        <is>
          <t>Thư viện note</t>
        </is>
      </c>
      <c r="C26" s="3" t="inlineStr">
        <is>
          <t>UI</t>
        </is>
      </c>
      <c r="D26" s="3" t="inlineStr">
        <is>
          <t>Màn hình danh sách/chi tiết/sửa/xoá note và phân mục</t>
        </is>
      </c>
      <c r="E26" s="3" t="inlineStr">
        <is>
          <t>Người D</t>
        </is>
      </c>
      <c r="F26" s="3" t="inlineStr">
        <is>
          <t>Người A</t>
        </is>
      </c>
      <c r="G26" s="3" t="n">
        <v>4</v>
      </c>
      <c r="H26" s="3" t="n">
        <v>5</v>
      </c>
      <c r="I26" s="3" t="n">
        <v>10</v>
      </c>
      <c r="J26" s="3" t="inlineStr">
        <is>
          <t>P0</t>
        </is>
      </c>
      <c r="K26" s="3" t="inlineStr">
        <is>
          <t>A05,C01</t>
        </is>
      </c>
      <c r="L26" s="3" t="inlineStr">
        <is>
          <t>Note library UI</t>
        </is>
      </c>
      <c r="M26" s="3" t="inlineStr">
        <is>
          <t>Browse/edit/delete/filter chạy với cache và server</t>
        </is>
      </c>
      <c r="N26" s="3" t="inlineStr">
        <is>
          <t>Chưa bắt đầu</t>
        </is>
      </c>
      <c r="O26" s="8" t="n">
        <v>0</v>
      </c>
    </row>
    <row r="27">
      <c r="A27" s="3" t="inlineStr">
        <is>
          <t>C04</t>
        </is>
      </c>
      <c r="B27" s="3" t="inlineStr">
        <is>
          <t>Thư viện note</t>
        </is>
      </c>
      <c r="C27" s="3" t="inlineStr">
        <is>
          <t>Extension</t>
        </is>
      </c>
      <c r="D27" s="3" t="inlineStr">
        <is>
          <t>Tích hợp metadata, category filter và đồng bộ trạng thái UI</t>
        </is>
      </c>
      <c r="E27" s="3" t="inlineStr">
        <is>
          <t>Người A</t>
        </is>
      </c>
      <c r="F27" s="3" t="inlineStr">
        <is>
          <t>Người D</t>
        </is>
      </c>
      <c r="G27" s="3" t="n">
        <v>5</v>
      </c>
      <c r="H27" s="3" t="n">
        <v>5</v>
      </c>
      <c r="I27" s="3" t="n">
        <v>6</v>
      </c>
      <c r="J27" s="3" t="inlineStr">
        <is>
          <t>P0</t>
        </is>
      </c>
      <c r="K27" s="3" t="inlineStr">
        <is>
          <t>C02,C03</t>
        </is>
      </c>
      <c r="L27" s="3" t="inlineStr">
        <is>
          <t>Filter integration</t>
        </is>
      </c>
      <c r="M27" s="3" t="inlineStr">
        <is>
          <t>Kết quả đúng giữa local/server; refresh không mất trạng thái</t>
        </is>
      </c>
      <c r="N27" s="3" t="inlineStr">
        <is>
          <t>Chưa bắt đầu</t>
        </is>
      </c>
      <c r="O27" s="8" t="n">
        <v>0</v>
      </c>
    </row>
    <row r="28">
      <c r="A28" s="3" t="inlineStr">
        <is>
          <t>C05</t>
        </is>
      </c>
      <c r="B28" s="3" t="inlineStr">
        <is>
          <t>Thư viện note</t>
        </is>
      </c>
      <c r="C28" s="3" t="inlineStr">
        <is>
          <t>QA</t>
        </is>
      </c>
      <c r="D28" s="3" t="inlineStr">
        <is>
          <t>Test CRUD, cache-first, offline, sync conflict và xoá hàng loạt</t>
        </is>
      </c>
      <c r="E28" s="3" t="inlineStr">
        <is>
          <t>Người D</t>
        </is>
      </c>
      <c r="F28" s="3" t="inlineStr">
        <is>
          <t>Người B</t>
        </is>
      </c>
      <c r="G28" s="3" t="n">
        <v>5</v>
      </c>
      <c r="H28" s="3" t="n">
        <v>5</v>
      </c>
      <c r="I28" s="3" t="n">
        <v>6</v>
      </c>
      <c r="J28" s="3" t="inlineStr">
        <is>
          <t>P0</t>
        </is>
      </c>
      <c r="K28" s="3" t="inlineStr">
        <is>
          <t>C01,C02,C03,C04</t>
        </is>
      </c>
      <c r="L28" s="3" t="inlineStr">
        <is>
          <t>CRUD/offline test suite</t>
        </is>
      </c>
      <c r="M28" s="3" t="inlineStr">
        <is>
          <t>Ca dữ liệu trống/lỗi mạng/xung đột đều được xác minh</t>
        </is>
      </c>
      <c r="N28" s="3" t="inlineStr">
        <is>
          <t>Chưa bắt đầu</t>
        </is>
      </c>
      <c r="O28" s="8" t="n">
        <v>0</v>
      </c>
    </row>
    <row r="29">
      <c r="A29" s="3" t="inlineStr">
        <is>
          <t>R01</t>
        </is>
      </c>
      <c r="B29" s="3" t="inlineStr">
        <is>
          <t>RAG</t>
        </is>
      </c>
      <c r="C29" s="3" t="inlineStr">
        <is>
          <t>AI</t>
        </is>
      </c>
      <c r="D29" s="3" t="inlineStr">
        <is>
          <t>Xây hybrid retrieval: BM25 + cosine similarity + search pool theo user</t>
        </is>
      </c>
      <c r="E29" s="3" t="inlineStr">
        <is>
          <t>Người C</t>
        </is>
      </c>
      <c r="F29" s="3" t="inlineStr">
        <is>
          <t>Người B</t>
        </is>
      </c>
      <c r="G29" s="3" t="n">
        <v>4</v>
      </c>
      <c r="H29" s="3" t="n">
        <v>5</v>
      </c>
      <c r="I29" s="3" t="n">
        <v>12</v>
      </c>
      <c r="J29" s="3" t="inlineStr">
        <is>
          <t>P0</t>
        </is>
      </c>
      <c r="K29" s="3" t="inlineStr">
        <is>
          <t>N04,N05</t>
        </is>
      </c>
      <c r="L29" s="3" t="inlineStr">
        <is>
          <t>Hybrid retrieval</t>
        </is>
      </c>
      <c r="M29" s="3" t="inlineStr">
        <is>
          <t>Không rò dữ liệu chéo user; có top-k và score</t>
        </is>
      </c>
      <c r="N29" s="3" t="inlineStr">
        <is>
          <t>Chưa bắt đầu</t>
        </is>
      </c>
      <c r="O29" s="8" t="n">
        <v>0</v>
      </c>
    </row>
    <row r="30">
      <c r="A30" s="3" t="inlineStr">
        <is>
          <t>R02</t>
        </is>
      </c>
      <c r="B30" s="3" t="inlineStr">
        <is>
          <t>RAG</t>
        </is>
      </c>
      <c r="C30" s="3" t="inlineStr">
        <is>
          <t>AI</t>
        </is>
      </c>
      <c r="D30" s="3" t="inlineStr">
        <is>
          <t>Tích hợp rerank top-k và fallback khi provider lỗi</t>
        </is>
      </c>
      <c r="E30" s="3" t="inlineStr">
        <is>
          <t>Người C</t>
        </is>
      </c>
      <c r="F30" s="3" t="inlineStr">
        <is>
          <t>Người B</t>
        </is>
      </c>
      <c r="G30" s="3" t="n">
        <v>5</v>
      </c>
      <c r="H30" s="3" t="n">
        <v>5</v>
      </c>
      <c r="I30" s="3" t="n">
        <v>8</v>
      </c>
      <c r="J30" s="3" t="inlineStr">
        <is>
          <t>P0</t>
        </is>
      </c>
      <c r="K30" s="3" t="inlineStr">
        <is>
          <t>R01,P07</t>
        </is>
      </c>
      <c r="L30" s="3" t="inlineStr">
        <is>
          <t>Rerank adapter</t>
        </is>
      </c>
      <c r="M30" s="3" t="inlineStr">
        <is>
          <t>Trả top-10 ổn định; timeout/fallback được test</t>
        </is>
      </c>
      <c r="N30" s="3" t="inlineStr">
        <is>
          <t>Chưa bắt đầu</t>
        </is>
      </c>
      <c r="O30" s="8" t="n">
        <v>0</v>
      </c>
    </row>
    <row r="31">
      <c r="A31" s="3" t="inlineStr">
        <is>
          <t>R03</t>
        </is>
      </c>
      <c r="B31" s="3" t="inlineStr">
        <is>
          <t>RAG</t>
        </is>
      </c>
      <c r="C31" s="3" t="inlineStr">
        <is>
          <t>Backend</t>
        </is>
      </c>
      <c r="D31" s="3" t="inlineStr">
        <is>
          <t>Cài POST /search/ranking: auth, quota, metadata filter và response</t>
        </is>
      </c>
      <c r="E31" s="3" t="inlineStr">
        <is>
          <t>Người B</t>
        </is>
      </c>
      <c r="F31" s="3" t="inlineStr">
        <is>
          <t>Người C</t>
        </is>
      </c>
      <c r="G31" s="3" t="n">
        <v>5</v>
      </c>
      <c r="H31" s="3" t="n">
        <v>6</v>
      </c>
      <c r="I31" s="3" t="n">
        <v>10</v>
      </c>
      <c r="J31" s="3" t="inlineStr">
        <is>
          <t>P0</t>
        </is>
      </c>
      <c r="K31" s="3" t="inlineStr">
        <is>
          <t>R01,R02,A04</t>
        </is>
      </c>
      <c r="L31" s="3" t="inlineStr">
        <is>
          <t>Search API</t>
        </is>
      </c>
      <c r="M31" s="3" t="inlineStr">
        <is>
          <t>Contract đúng; quota đúng; filter category pass</t>
        </is>
      </c>
      <c r="N31" s="3" t="inlineStr">
        <is>
          <t>Chưa bắt đầu</t>
        </is>
      </c>
      <c r="O31" s="8" t="n">
        <v>0</v>
      </c>
    </row>
    <row r="32">
      <c r="A32" s="3" t="inlineStr">
        <is>
          <t>R04</t>
        </is>
      </c>
      <c r="B32" s="3" t="inlineStr">
        <is>
          <t>RAG</t>
        </is>
      </c>
      <c r="C32" s="3" t="inlineStr">
        <is>
          <t>Extension</t>
        </is>
      </c>
      <c r="D32" s="3" t="inlineStr">
        <is>
          <t>Màn hình tìm kiếm/chat, gọi API và render chunk/rank</t>
        </is>
      </c>
      <c r="E32" s="3" t="inlineStr">
        <is>
          <t>Người A</t>
        </is>
      </c>
      <c r="F32" s="3" t="inlineStr">
        <is>
          <t>Người D</t>
        </is>
      </c>
      <c r="G32" s="3" t="n">
        <v>5</v>
      </c>
      <c r="H32" s="3" t="n">
        <v>6</v>
      </c>
      <c r="I32" s="3" t="n">
        <v>8</v>
      </c>
      <c r="J32" s="3" t="inlineStr">
        <is>
          <t>P0</t>
        </is>
      </c>
      <c r="K32" s="3" t="inlineStr">
        <is>
          <t>A05,R03</t>
        </is>
      </c>
      <c r="L32" s="3" t="inlineStr">
        <is>
          <t>RAG search UI</t>
        </is>
      </c>
      <c r="M32" s="3" t="inlineStr">
        <is>
          <t>Loading/error/empty/result rõ; mở được note nguồn</t>
        </is>
      </c>
      <c r="N32" s="3" t="inlineStr">
        <is>
          <t>Chưa bắt đầu</t>
        </is>
      </c>
      <c r="O32" s="8" t="n">
        <v>0</v>
      </c>
    </row>
    <row r="33">
      <c r="A33" s="3" t="inlineStr">
        <is>
          <t>R05</t>
        </is>
      </c>
      <c r="B33" s="3" t="inlineStr">
        <is>
          <t>RAG</t>
        </is>
      </c>
      <c r="C33" s="3" t="inlineStr">
        <is>
          <t>QA/UX</t>
        </is>
      </c>
      <c r="D33" s="3" t="inlineStr">
        <is>
          <t>Đánh giá trải nghiệm kết quả RAG và test phân quyền/quota</t>
        </is>
      </c>
      <c r="E33" s="3" t="inlineStr">
        <is>
          <t>Người D</t>
        </is>
      </c>
      <c r="F33" s="3" t="inlineStr">
        <is>
          <t>Người C</t>
        </is>
      </c>
      <c r="G33" s="3" t="n">
        <v>6</v>
      </c>
      <c r="H33" s="3" t="n">
        <v>6</v>
      </c>
      <c r="I33" s="3" t="n">
        <v>6</v>
      </c>
      <c r="J33" s="3" t="inlineStr">
        <is>
          <t>P0</t>
        </is>
      </c>
      <c r="K33" s="3" t="inlineStr">
        <is>
          <t>R03,R04</t>
        </is>
      </c>
      <c r="L33" s="3" t="inlineStr">
        <is>
          <t>RAG acceptance report</t>
        </is>
      </c>
      <c r="M33" s="3" t="inlineStr">
        <is>
          <t>Không lộ dữ liệu; kết quả đáp ứng bộ query mẫu</t>
        </is>
      </c>
      <c r="N33" s="3" t="inlineStr">
        <is>
          <t>Chưa bắt đầu</t>
        </is>
      </c>
      <c r="O33" s="8" t="n">
        <v>0</v>
      </c>
    </row>
    <row r="34">
      <c r="A34" s="3" t="inlineStr">
        <is>
          <t>S01</t>
        </is>
      </c>
      <c r="B34" s="3" t="inlineStr">
        <is>
          <t>Skim trang</t>
        </is>
      </c>
      <c r="C34" s="3" t="inlineStr">
        <is>
          <t>Extension</t>
        </is>
      </c>
      <c r="D34" s="3" t="inlineStr">
        <is>
          <t>Readability extraction, session UUID theo tab+user</t>
        </is>
      </c>
      <c r="E34" s="3" t="inlineStr">
        <is>
          <t>Người A</t>
        </is>
      </c>
      <c r="F34" s="3" t="inlineStr">
        <is>
          <t>Người C</t>
        </is>
      </c>
      <c r="G34" s="3" t="n">
        <v>6</v>
      </c>
      <c r="H34" s="3" t="n">
        <v>6</v>
      </c>
      <c r="I34" s="3" t="n">
        <v>8</v>
      </c>
      <c r="J34" s="3" t="inlineStr">
        <is>
          <t>P1</t>
        </is>
      </c>
      <c r="K34" s="3" t="inlineStr">
        <is>
          <t>P05</t>
        </is>
      </c>
      <c r="L34" s="3" t="inlineStr">
        <is>
          <t>Page extraction</t>
        </is>
      </c>
      <c r="M34" s="3" t="inlineStr">
        <is>
          <t>Loại bỏ menu/quảng cáo; session tách theo tab/user</t>
        </is>
      </c>
      <c r="N34" s="3" t="inlineStr">
        <is>
          <t>Chưa bắt đầu</t>
        </is>
      </c>
      <c r="O34" s="8" t="n">
        <v>0</v>
      </c>
    </row>
    <row r="35">
      <c r="A35" s="3" t="inlineStr">
        <is>
          <t>S02</t>
        </is>
      </c>
      <c r="B35" s="3" t="inlineStr">
        <is>
          <t>Skim trang</t>
        </is>
      </c>
      <c r="C35" s="3" t="inlineStr">
        <is>
          <t>AI/Backend</t>
        </is>
      </c>
      <c r="D35" s="3" t="inlineStr">
        <is>
          <t>Cài /skim/prepare, /skim/search và bộ nhớ session có TTL</t>
        </is>
      </c>
      <c r="E35" s="3" t="inlineStr">
        <is>
          <t>Người C</t>
        </is>
      </c>
      <c r="F35" s="3" t="inlineStr">
        <is>
          <t>Người B</t>
        </is>
      </c>
      <c r="G35" s="3" t="n">
        <v>6</v>
      </c>
      <c r="H35" s="3" t="n">
        <v>7</v>
      </c>
      <c r="I35" s="3" t="n">
        <v>10</v>
      </c>
      <c r="J35" s="3" t="inlineStr">
        <is>
          <t>P1</t>
        </is>
      </c>
      <c r="K35" s="3" t="inlineStr">
        <is>
          <t>S01,R01,R02</t>
        </is>
      </c>
      <c r="L35" s="3" t="inlineStr">
        <is>
          <t>Skim APIs</t>
        </is>
      </c>
      <c r="M35" s="3" t="inlineStr">
        <is>
          <t>Có TTL/limit; xử lý session missing/expired</t>
        </is>
      </c>
      <c r="N35" s="3" t="inlineStr">
        <is>
          <t>Chưa bắt đầu</t>
        </is>
      </c>
      <c r="O35" s="8" t="n">
        <v>0</v>
      </c>
    </row>
    <row r="36">
      <c r="A36" s="3" t="inlineStr">
        <is>
          <t>S03</t>
        </is>
      </c>
      <c r="B36" s="3" t="inlineStr">
        <is>
          <t>Skim trang</t>
        </is>
      </c>
      <c r="C36" s="3" t="inlineStr">
        <is>
          <t>AI</t>
        </is>
      </c>
      <c r="D36" s="3" t="inlineStr">
        <is>
          <t>Pipeline chunk/embed/search/rerank tạm thời cho nội dung trang</t>
        </is>
      </c>
      <c r="E36" s="3" t="inlineStr">
        <is>
          <t>Người C</t>
        </is>
      </c>
      <c r="F36" s="3" t="inlineStr">
        <is>
          <t>Người B</t>
        </is>
      </c>
      <c r="G36" s="3" t="n">
        <v>6</v>
      </c>
      <c r="H36" s="3" t="n">
        <v>7</v>
      </c>
      <c r="I36" s="3" t="n">
        <v>10</v>
      </c>
      <c r="J36" s="3" t="inlineStr">
        <is>
          <t>P1</t>
        </is>
      </c>
      <c r="K36" s="3" t="inlineStr">
        <is>
          <t>S01,R01,R02</t>
        </is>
      </c>
      <c r="L36" s="3" t="inlineStr">
        <is>
          <t>Skim AI pipeline</t>
        </is>
      </c>
      <c r="M36" s="3" t="inlineStr">
        <is>
          <t>Không ghi lâu dài trước khi user chọn; latency được đo</t>
        </is>
      </c>
      <c r="N36" s="3" t="inlineStr">
        <is>
          <t>Chưa bắt đầu</t>
        </is>
      </c>
      <c r="O36" s="8" t="n">
        <v>0</v>
      </c>
    </row>
    <row r="37">
      <c r="A37" s="3" t="inlineStr">
        <is>
          <t>S04</t>
        </is>
      </c>
      <c r="B37" s="3" t="inlineStr">
        <is>
          <t>Skim trang</t>
        </is>
      </c>
      <c r="C37" s="3" t="inlineStr">
        <is>
          <t>UI</t>
        </is>
      </c>
      <c r="D37" s="3" t="inlineStr">
        <is>
          <t>UI prompt, hint chuẩn bị/tìm kiếm, preview và chọn đoạn để lưu</t>
        </is>
      </c>
      <c r="E37" s="3" t="inlineStr">
        <is>
          <t>Người D</t>
        </is>
      </c>
      <c r="F37" s="3" t="inlineStr">
        <is>
          <t>Người A</t>
        </is>
      </c>
      <c r="G37" s="3" t="n">
        <v>6</v>
      </c>
      <c r="H37" s="3" t="n">
        <v>7</v>
      </c>
      <c r="I37" s="3" t="n">
        <v>8</v>
      </c>
      <c r="J37" s="3" t="inlineStr">
        <is>
          <t>P1</t>
        </is>
      </c>
      <c r="K37" s="3" t="inlineStr">
        <is>
          <t>A05,S01,S02</t>
        </is>
      </c>
      <c r="L37" s="3" t="inlineStr">
        <is>
          <t>Skim UI</t>
        </is>
      </c>
      <c r="M37" s="3" t="inlineStr">
        <is>
          <t>Đúng trạng thái Ready/chưa Ready; chọn nhiều đoạn được</t>
        </is>
      </c>
      <c r="N37" s="3" t="inlineStr">
        <is>
          <t>Chưa bắt đầu</t>
        </is>
      </c>
      <c r="O37" s="8" t="n">
        <v>0</v>
      </c>
    </row>
    <row r="38">
      <c r="A38" s="3" t="inlineStr">
        <is>
          <t>S05</t>
        </is>
      </c>
      <c r="B38" s="3" t="inlineStr">
        <is>
          <t>Skim trang</t>
        </is>
      </c>
      <c r="C38" s="3" t="inlineStr">
        <is>
          <t>Backend</t>
        </is>
      </c>
      <c r="D38" s="3" t="inlineStr">
        <is>
          <t>Cài lưu các chunk đã chọn qua contract note thống nhất</t>
        </is>
      </c>
      <c r="E38" s="3" t="inlineStr">
        <is>
          <t>Người B</t>
        </is>
      </c>
      <c r="F38" s="3" t="inlineStr">
        <is>
          <t>Người A</t>
        </is>
      </c>
      <c r="G38" s="3" t="n">
        <v>7</v>
      </c>
      <c r="H38" s="3" t="n">
        <v>7</v>
      </c>
      <c r="I38" s="3" t="n">
        <v>6</v>
      </c>
      <c r="J38" s="3" t="inlineStr">
        <is>
          <t>P1</t>
        </is>
      </c>
      <c r="K38" s="3" t="inlineStr">
        <is>
          <t>S02,S03,P02</t>
        </is>
      </c>
      <c r="L38" s="3" t="inlineStr">
        <is>
          <t>Save selected chunks</t>
        </is>
      </c>
      <c r="M38" s="3" t="inlineStr">
        <is>
          <t>Lưu note+vector đúng ownership; không tạo trùng</t>
        </is>
      </c>
      <c r="N38" s="3" t="inlineStr">
        <is>
          <t>Chưa bắt đầu</t>
        </is>
      </c>
      <c r="O38" s="8" t="n">
        <v>0</v>
      </c>
    </row>
    <row r="39">
      <c r="A39" s="3" t="inlineStr">
        <is>
          <t>S06</t>
        </is>
      </c>
      <c r="B39" s="3" t="inlineStr">
        <is>
          <t>Skim trang</t>
        </is>
      </c>
      <c r="C39" s="3" t="inlineStr">
        <is>
          <t>QA</t>
        </is>
      </c>
      <c r="D39" s="3" t="inlineStr">
        <is>
          <t>E2E skim: trang dài, chưa ready, hết quota, session hết hạn</t>
        </is>
      </c>
      <c r="E39" s="3" t="inlineStr">
        <is>
          <t>Người D</t>
        </is>
      </c>
      <c r="F39" s="3" t="inlineStr">
        <is>
          <t>Người C</t>
        </is>
      </c>
      <c r="G39" s="3" t="n">
        <v>7</v>
      </c>
      <c r="H39" s="3" t="n">
        <v>7</v>
      </c>
      <c r="I39" s="3" t="n">
        <v>6</v>
      </c>
      <c r="J39" s="3" t="inlineStr">
        <is>
          <t>P1</t>
        </is>
      </c>
      <c r="K39" s="3" t="inlineStr">
        <is>
          <t>S02,S03,S04,S05</t>
        </is>
      </c>
      <c r="L39" s="3" t="inlineStr">
        <is>
          <t>Skim E2E report</t>
        </is>
      </c>
      <c r="M39" s="3" t="inlineStr">
        <is>
          <t>Happy path và nhánh lỗi trọng yếu pass</t>
        </is>
      </c>
      <c r="N39" s="3" t="inlineStr">
        <is>
          <t>Chưa bắt đầu</t>
        </is>
      </c>
      <c r="O39" s="8" t="n">
        <v>0</v>
      </c>
    </row>
    <row r="40">
      <c r="A40" s="3" t="inlineStr">
        <is>
          <t>G01</t>
        </is>
      </c>
      <c r="B40" s="3" t="inlineStr">
        <is>
          <t>Khoảng trống</t>
        </is>
      </c>
      <c r="C40" s="3" t="inlineStr">
        <is>
          <t>Đặc tả</t>
        </is>
      </c>
      <c r="D40" s="3" t="inlineStr">
        <is>
          <t>Đặc tả riêng chức năng Tóm tắt nội dung đang thiếu trong file kịch bản</t>
        </is>
      </c>
      <c r="E40" s="3" t="inlineStr">
        <is>
          <t>Người D</t>
        </is>
      </c>
      <c r="F40" s="3" t="inlineStr">
        <is>
          <t>Người C</t>
        </is>
      </c>
      <c r="G40" s="3" t="n">
        <v>2</v>
      </c>
      <c r="H40" s="3" t="n">
        <v>2</v>
      </c>
      <c r="I40" s="3" t="n">
        <v>5</v>
      </c>
      <c r="J40" s="3" t="inlineStr">
        <is>
          <t>P1</t>
        </is>
      </c>
      <c r="K40" s="3" t="inlineStr">
        <is>
          <t>P04</t>
        </is>
      </c>
      <c r="L40" s="3" t="inlineStr">
        <is>
          <t>Scenario + acceptance</t>
        </is>
      </c>
      <c r="M40" s="3" t="inlineStr">
        <is>
          <t>Chốt đầu vào/đầu ra/lưu trữ/quota/privacy; quyết định MVP hay P2</t>
        </is>
      </c>
      <c r="N40" s="3" t="inlineStr">
        <is>
          <t>Chưa bắt đầu</t>
        </is>
      </c>
      <c r="O40" s="8" t="n">
        <v>0</v>
      </c>
    </row>
    <row r="41">
      <c r="A41" s="3" t="inlineStr">
        <is>
          <t>G02</t>
        </is>
      </c>
      <c r="B41" s="3" t="inlineStr">
        <is>
          <t>Khoảng trống</t>
        </is>
      </c>
      <c r="C41" s="3" t="inlineStr">
        <is>
          <t>Đặc tả</t>
        </is>
      </c>
      <c r="D41" s="3" t="inlineStr">
        <is>
          <t>Chốt lịch trình cá nhân, dữ liệu profile và cơ chế consent</t>
        </is>
      </c>
      <c r="E41" s="3" t="inlineStr">
        <is>
          <t>Người A</t>
        </is>
      </c>
      <c r="F41" s="3" t="inlineStr">
        <is>
          <t>Người D</t>
        </is>
      </c>
      <c r="G41" s="3" t="n">
        <v>2</v>
      </c>
      <c r="H41" s="3" t="n">
        <v>2</v>
      </c>
      <c r="I41" s="3" t="n">
        <v>4</v>
      </c>
      <c r="J41" s="3" t="inlineStr">
        <is>
          <t>P2</t>
        </is>
      </c>
      <c r="K41" s="3" t="inlineStr">
        <is>
          <t>G01</t>
        </is>
      </c>
      <c r="L41" s="3" t="inlineStr">
        <is>
          <t>Decision record</t>
        </is>
      </c>
      <c r="M41" s="3" t="inlineStr">
        <is>
          <t>Không thu thập dữ liệu nhạy cảm nếu chưa có consent rõ</t>
        </is>
      </c>
      <c r="N41" s="3" t="inlineStr">
        <is>
          <t>Chưa bắt đầu</t>
        </is>
      </c>
      <c r="O41" s="8" t="n">
        <v>0</v>
      </c>
    </row>
    <row r="42">
      <c r="A42" s="3" t="inlineStr">
        <is>
          <t>H01</t>
        </is>
      </c>
      <c r="B42" s="3" t="inlineStr">
        <is>
          <t>Hoàn thiện</t>
        </is>
      </c>
      <c r="C42" s="3" t="inlineStr">
        <is>
          <t>Bảo mật</t>
        </is>
      </c>
      <c r="D42" s="3" t="inlineStr">
        <is>
          <t>Rà soát permission MV3, CSP, secret/token và dữ liệu nhạy cảm</t>
        </is>
      </c>
      <c r="E42" s="3" t="inlineStr">
        <is>
          <t>Người A</t>
        </is>
      </c>
      <c r="F42" s="3" t="inlineStr">
        <is>
          <t>Người B</t>
        </is>
      </c>
      <c r="G42" s="3" t="n">
        <v>7</v>
      </c>
      <c r="H42" s="3" t="n">
        <v>8</v>
      </c>
      <c r="I42" s="3" t="n">
        <v>6</v>
      </c>
      <c r="J42" s="3" t="inlineStr">
        <is>
          <t>P0</t>
        </is>
      </c>
      <c r="K42" s="3" t="inlineStr">
        <is>
          <t>A03,C02,S01</t>
        </is>
      </c>
      <c r="L42" s="3" t="inlineStr">
        <is>
          <t>Security checklist</t>
        </is>
      </c>
      <c r="M42" s="3" t="inlineStr">
        <is>
          <t>Least privilege; không secret trong bundle/log</t>
        </is>
      </c>
      <c r="N42" s="3" t="inlineStr">
        <is>
          <t>Chưa bắt đầu</t>
        </is>
      </c>
      <c r="O42" s="8" t="n">
        <v>0</v>
      </c>
    </row>
    <row r="43">
      <c r="A43" s="3" t="inlineStr">
        <is>
          <t>H02</t>
        </is>
      </c>
      <c r="B43" s="3" t="inlineStr">
        <is>
          <t>Hoàn thiện</t>
        </is>
      </c>
      <c r="C43" s="3" t="inlineStr">
        <is>
          <t>Bảo mật</t>
        </is>
      </c>
      <c r="D43" s="3" t="inlineStr">
        <is>
          <t>Validation, rate limit, CORS/HTTPS config và kiểm tra ownership API</t>
        </is>
      </c>
      <c r="E43" s="3" t="inlineStr">
        <is>
          <t>Người B</t>
        </is>
      </c>
      <c r="F43" s="3" t="inlineStr">
        <is>
          <t>Người A</t>
        </is>
      </c>
      <c r="G43" s="3" t="n">
        <v>7</v>
      </c>
      <c r="H43" s="3" t="n">
        <v>8</v>
      </c>
      <c r="I43" s="3" t="n">
        <v>8</v>
      </c>
      <c r="J43" s="3" t="inlineStr">
        <is>
          <t>P0</t>
        </is>
      </c>
      <c r="K43" s="3" t="inlineStr">
        <is>
          <t>C01,R03,S02</t>
        </is>
      </c>
      <c r="L43" s="3" t="inlineStr">
        <is>
          <t>Backend hardening</t>
        </is>
      </c>
      <c r="M43" s="3" t="inlineStr">
        <is>
          <t>Security tests pass; lỗi không lộ chi tiết nội bộ</t>
        </is>
      </c>
      <c r="N43" s="3" t="inlineStr">
        <is>
          <t>Chưa bắt đầu</t>
        </is>
      </c>
      <c r="O43" s="8" t="n">
        <v>0</v>
      </c>
    </row>
    <row r="44">
      <c r="A44" s="3" t="inlineStr">
        <is>
          <t>H03</t>
        </is>
      </c>
      <c r="B44" s="3" t="inlineStr">
        <is>
          <t>Hoàn thiện</t>
        </is>
      </c>
      <c r="C44" s="3" t="inlineStr">
        <is>
          <t>AI</t>
        </is>
      </c>
      <c r="D44" s="3" t="inlineStr">
        <is>
          <t>Tạo bộ dữ liệu đánh giá và benchmark relevance/latency</t>
        </is>
      </c>
      <c r="E44" s="3" t="inlineStr">
        <is>
          <t>Người C</t>
        </is>
      </c>
      <c r="F44" s="3" t="inlineStr">
        <is>
          <t>Người D</t>
        </is>
      </c>
      <c r="G44" s="3" t="n">
        <v>7</v>
      </c>
      <c r="H44" s="3" t="n">
        <v>8</v>
      </c>
      <c r="I44" s="3" t="n">
        <v>8</v>
      </c>
      <c r="J44" s="3" t="inlineStr">
        <is>
          <t>P0</t>
        </is>
      </c>
      <c r="K44" s="3" t="inlineStr">
        <is>
          <t>R01,R02,S03</t>
        </is>
      </c>
      <c r="L44" s="3" t="inlineStr">
        <is>
          <t>Evaluation report</t>
        </is>
      </c>
      <c r="M44" s="3" t="inlineStr">
        <is>
          <t>Có Recall@k/nDCG hoặc tiêu chí tương đương và ngưỡng chấp nhận</t>
        </is>
      </c>
      <c r="N44" s="3" t="inlineStr">
        <is>
          <t>Chưa bắt đầu</t>
        </is>
      </c>
      <c r="O44" s="8" t="n">
        <v>0</v>
      </c>
    </row>
    <row r="45">
      <c r="A45" s="3" t="inlineStr">
        <is>
          <t>H04</t>
        </is>
      </c>
      <c r="B45" s="3" t="inlineStr">
        <is>
          <t>Hoàn thiện</t>
        </is>
      </c>
      <c r="C45" s="3" t="inlineStr">
        <is>
          <t>AI/Deploy</t>
        </is>
      </c>
      <c r="D45" s="3" t="inlineStr">
        <is>
          <t>Cấu hình self-host/Dify, health/fallback và tài liệu vận hành</t>
        </is>
      </c>
      <c r="E45" s="3" t="inlineStr">
        <is>
          <t>Người C</t>
        </is>
      </c>
      <c r="F45" s="3" t="inlineStr">
        <is>
          <t>Người B</t>
        </is>
      </c>
      <c r="G45" s="3" t="n">
        <v>7</v>
      </c>
      <c r="H45" s="3" t="n">
        <v>8</v>
      </c>
      <c r="I45" s="3" t="n">
        <v>8</v>
      </c>
      <c r="J45" s="3" t="inlineStr">
        <is>
          <t>P1</t>
        </is>
      </c>
      <c r="K45" s="3" t="inlineStr">
        <is>
          <t>P03,P07</t>
        </is>
      </c>
      <c r="L45" s="3" t="inlineStr">
        <is>
          <t>AI deployment guide</t>
        </is>
      </c>
      <c r="M45" s="3" t="inlineStr">
        <is>
          <t>Một cấu hình demo chạy được; provider lỗi có cảnh báo</t>
        </is>
      </c>
      <c r="N45" s="3" t="inlineStr">
        <is>
          <t>Chưa bắt đầu</t>
        </is>
      </c>
      <c r="O45" s="8" t="n">
        <v>0</v>
      </c>
    </row>
    <row r="46">
      <c r="A46" s="3" t="inlineStr">
        <is>
          <t>H05</t>
        </is>
      </c>
      <c r="B46" s="3" t="inlineStr">
        <is>
          <t>Hoàn thiện</t>
        </is>
      </c>
      <c r="C46" s="3" t="inlineStr">
        <is>
          <t>QA</t>
        </is>
      </c>
      <c r="D46" s="3" t="inlineStr">
        <is>
          <t>Regression E2E, usability, accessibility và kiểm thử demo</t>
        </is>
      </c>
      <c r="E46" s="3" t="inlineStr">
        <is>
          <t>Người D</t>
        </is>
      </c>
      <c r="F46" s="3" t="inlineStr">
        <is>
          <t>Người A</t>
        </is>
      </c>
      <c r="G46" s="3" t="n">
        <v>8</v>
      </c>
      <c r="H46" s="3" t="n">
        <v>8</v>
      </c>
      <c r="I46" s="3" t="n">
        <v>10</v>
      </c>
      <c r="J46" s="3" t="inlineStr">
        <is>
          <t>P0</t>
        </is>
      </c>
      <c r="K46" s="3" t="inlineStr">
        <is>
          <t>N07,C05,R05,S06,H01,H02</t>
        </is>
      </c>
      <c r="L46" s="3" t="inlineStr">
        <is>
          <t>Release test report</t>
        </is>
      </c>
      <c r="M46" s="3" t="inlineStr">
        <is>
          <t>Không còn lỗi P0/P1 mở; checklist demo pass</t>
        </is>
      </c>
      <c r="N46" s="3" t="inlineStr">
        <is>
          <t>Chưa bắt đầu</t>
        </is>
      </c>
      <c r="O46" s="8" t="n">
        <v>0</v>
      </c>
    </row>
    <row r="47">
      <c r="A47" s="3" t="inlineStr">
        <is>
          <t>H06</t>
        </is>
      </c>
      <c r="B47" s="3" t="inlineStr">
        <is>
          <t>Hoàn thiện</t>
        </is>
      </c>
      <c r="C47" s="3" t="inlineStr">
        <is>
          <t>Tích hợp</t>
        </is>
      </c>
      <c r="D47" s="3" t="inlineStr">
        <is>
          <t>Tối ưu hiệu năng, retry/telemetry và sửa lỗi tích hợp extension</t>
        </is>
      </c>
      <c r="E47" s="3" t="inlineStr">
        <is>
          <t>Người A</t>
        </is>
      </c>
      <c r="F47" s="3" t="inlineStr">
        <is>
          <t>Người D</t>
        </is>
      </c>
      <c r="G47" s="3" t="n">
        <v>8</v>
      </c>
      <c r="H47" s="3" t="n">
        <v>8</v>
      </c>
      <c r="I47" s="3" t="n">
        <v>8</v>
      </c>
      <c r="J47" s="3" t="inlineStr">
        <is>
          <t>P0</t>
        </is>
      </c>
      <c r="K47" s="3" t="inlineStr">
        <is>
          <t>R04,S04,H01</t>
        </is>
      </c>
      <c r="L47" s="3" t="inlineStr">
        <is>
          <t>Release candidate extension</t>
        </is>
      </c>
      <c r="M47" s="3" t="inlineStr">
        <is>
          <t>Build sạch; luồng P0 ổn định; lỗi có log không chứa dữ liệu nhạy cảm</t>
        </is>
      </c>
      <c r="N47" s="3" t="inlineStr">
        <is>
          <t>Chưa bắt đầu</t>
        </is>
      </c>
      <c r="O47" s="8" t="n">
        <v>0</v>
      </c>
    </row>
    <row r="48">
      <c r="A48" s="3" t="inlineStr">
        <is>
          <t>H07</t>
        </is>
      </c>
      <c r="B48" s="3" t="inlineStr">
        <is>
          <t>Hoàn thiện</t>
        </is>
      </c>
      <c r="C48" s="3" t="inlineStr">
        <is>
          <t>Tích hợp</t>
        </is>
      </c>
      <c r="D48" s="3" t="inlineStr">
        <is>
          <t>Đóng gói backend, migration, cấu hình demo và sửa lỗi tích hợp</t>
        </is>
      </c>
      <c r="E48" s="3" t="inlineStr">
        <is>
          <t>Người B</t>
        </is>
      </c>
      <c r="F48" s="3" t="inlineStr">
        <is>
          <t>Người C</t>
        </is>
      </c>
      <c r="G48" s="3" t="n">
        <v>8</v>
      </c>
      <c r="H48" s="3" t="n">
        <v>8</v>
      </c>
      <c r="I48" s="3" t="n">
        <v>8</v>
      </c>
      <c r="J48" s="3" t="inlineStr">
        <is>
          <t>P0</t>
        </is>
      </c>
      <c r="K48" s="3" t="inlineStr">
        <is>
          <t>H02,H04</t>
        </is>
      </c>
      <c r="L48" s="3" t="inlineStr">
        <is>
          <t>Release candidate server</t>
        </is>
      </c>
      <c r="M48" s="3" t="inlineStr">
        <is>
          <t>Deploy mới từ hướng dẫn; migration và smoke test pass</t>
        </is>
      </c>
      <c r="N48" s="3" t="inlineStr">
        <is>
          <t>Chưa bắt đầu</t>
        </is>
      </c>
      <c r="O48" s="8" t="n">
        <v>0</v>
      </c>
    </row>
    <row r="49">
      <c r="A49" s="3" t="inlineStr">
        <is>
          <t>H08</t>
        </is>
      </c>
      <c r="B49" s="3" t="inlineStr">
        <is>
          <t>Hoàn thiện</t>
        </is>
      </c>
      <c r="C49" s="3" t="inlineStr">
        <is>
          <t>Tài liệu</t>
        </is>
      </c>
      <c r="D49" s="3" t="inlineStr">
        <is>
          <t>Hoàn thiện báo cáo, hướng dẫn người dùng và kịch bản thuyết trình</t>
        </is>
      </c>
      <c r="E49" s="3" t="inlineStr">
        <is>
          <t>Người D</t>
        </is>
      </c>
      <c r="F49" s="3" t="inlineStr">
        <is>
          <t>Người A</t>
        </is>
      </c>
      <c r="G49" s="3" t="n">
        <v>8</v>
      </c>
      <c r="H49" s="3" t="n">
        <v>8</v>
      </c>
      <c r="I49" s="3" t="n">
        <v>8</v>
      </c>
      <c r="J49" s="3" t="inlineStr">
        <is>
          <t>P0</t>
        </is>
      </c>
      <c r="K49" s="3" t="inlineStr">
        <is>
          <t>H03,H05,H06,H07</t>
        </is>
      </c>
      <c r="L49" s="3" t="inlineStr">
        <is>
          <t>Report + user guide + demo script</t>
        </is>
      </c>
      <c r="M49" s="3" t="inlineStr">
        <is>
          <t>Tài liệu khớp sản phẩm; demo 10–15 phút chạy được</t>
        </is>
      </c>
      <c r="N49" s="3" t="inlineStr">
        <is>
          <t>Chưa bắt đầu</t>
        </is>
      </c>
      <c r="O49" s="8" t="n">
        <v>0</v>
      </c>
    </row>
  </sheetData>
  <autoFilter ref="A3:O49"/>
  <mergeCells count="1">
    <mergeCell ref="A1:O1"/>
  </mergeCells>
  <conditionalFormatting sqref="O4:O4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4:N49">
    <cfRule type="expression" priority="2" dxfId="0">
      <formula>$N4="Bị chặn"</formula>
    </cfRule>
  </conditionalFormatting>
  <dataValidations count="2">
    <dataValidation sqref="N4:N49" showDropDown="0" showInputMessage="0" showErrorMessage="0" allowBlank="0" type="list">
      <formula1>"Chưa bắt đầu,Đang làm,Chờ review,Bị chặn,Hoàn thành"</formula1>
    </dataValidation>
    <dataValidation sqref="O4:O49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9"/>
  <sheetViews>
    <sheetView showGridLines="0"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52" customWidth="1" min="2" max="2"/>
    <col width="22" customWidth="1" min="3" max="3"/>
    <col width="10" customWidth="1" min="4" max="4"/>
    <col width="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30" customHeight="1">
      <c r="A1" s="1" t="inlineStr">
        <is>
          <t>TIMELINE 8 TUẦN — BẢN ẨN DANH</t>
        </is>
      </c>
    </row>
    <row r="2"/>
    <row r="3">
      <c r="A3" s="7" t="inlineStr">
        <is>
          <t>ID</t>
        </is>
      </c>
      <c r="B3" s="7" t="inlineStr">
        <is>
          <t>Task</t>
        </is>
      </c>
      <c r="C3" s="7" t="inlineStr">
        <is>
          <t>Owner</t>
        </is>
      </c>
      <c r="D3" s="7" t="inlineStr">
        <is>
          <t>Ưu tiên</t>
        </is>
      </c>
      <c r="E3" s="7" t="inlineStr">
        <is>
          <t>Giờ</t>
        </is>
      </c>
      <c r="F3" s="7" t="inlineStr">
        <is>
          <t>Tuần 1</t>
        </is>
      </c>
      <c r="G3" s="7" t="inlineStr">
        <is>
          <t>Tuần 2</t>
        </is>
      </c>
      <c r="H3" s="7" t="inlineStr">
        <is>
          <t>Tuần 3</t>
        </is>
      </c>
      <c r="I3" s="7" t="inlineStr">
        <is>
          <t>Tuần 4</t>
        </is>
      </c>
      <c r="J3" s="7" t="inlineStr">
        <is>
          <t>Tuần 5</t>
        </is>
      </c>
      <c r="K3" s="7" t="inlineStr">
        <is>
          <t>Tuần 6</t>
        </is>
      </c>
      <c r="L3" s="7" t="inlineStr">
        <is>
          <t>Tuần 7</t>
        </is>
      </c>
      <c r="M3" s="7" t="inlineStr">
        <is>
          <t>Tuần 8</t>
        </is>
      </c>
    </row>
    <row r="4">
      <c r="A4" s="9" t="inlineStr">
        <is>
          <t>P01</t>
        </is>
      </c>
      <c r="B4" s="10" t="inlineStr">
        <is>
          <t>Chốt kiến trúc, module, luồng dữ liệu và ADR</t>
        </is>
      </c>
      <c r="C4" s="9" t="inlineStr">
        <is>
          <t>Người A</t>
        </is>
      </c>
      <c r="D4" s="9" t="inlineStr">
        <is>
          <t>P0</t>
        </is>
      </c>
      <c r="E4" s="9" t="n">
        <v>6</v>
      </c>
      <c r="F4" s="11" t="inlineStr">
        <is>
          <t>■</t>
        </is>
      </c>
      <c r="G4" s="9" t="n"/>
      <c r="H4" s="9" t="n"/>
      <c r="I4" s="9" t="n"/>
      <c r="J4" s="9" t="n"/>
      <c r="K4" s="9" t="n"/>
      <c r="L4" s="9" t="n"/>
      <c r="M4" s="9" t="n"/>
    </row>
    <row r="5">
      <c r="A5" s="9" t="inlineStr">
        <is>
          <t>P02</t>
        </is>
      </c>
      <c r="B5" s="10" t="inlineStr">
        <is>
          <t>Chuẩn hoá endpoint và data contract; xử lý xung đột /notes/quick, /notes, /notes/ragged</t>
        </is>
      </c>
      <c r="C5" s="9" t="inlineStr">
        <is>
          <t>Người B</t>
        </is>
      </c>
      <c r="D5" s="9" t="inlineStr">
        <is>
          <t>P0</t>
        </is>
      </c>
      <c r="E5" s="9" t="n">
        <v>8</v>
      </c>
      <c r="F5" s="12" t="inlineStr">
        <is>
          <t>■</t>
        </is>
      </c>
      <c r="G5" s="9" t="n"/>
      <c r="H5" s="9" t="n"/>
      <c r="I5" s="9" t="n"/>
      <c r="J5" s="9" t="n"/>
      <c r="K5" s="9" t="n"/>
      <c r="L5" s="9" t="n"/>
      <c r="M5" s="9" t="n"/>
    </row>
    <row r="6">
      <c r="A6" s="9" t="inlineStr">
        <is>
          <t>P03</t>
        </is>
      </c>
      <c r="B6" s="10" t="inlineStr">
        <is>
          <t>Spike lựa chọn AI Provider: Dify hay service riêng; đo khả năng chunk/embed/rerank</t>
        </is>
      </c>
      <c r="C6" s="9" t="inlineStr">
        <is>
          <t>Người C</t>
        </is>
      </c>
      <c r="D6" s="9" t="inlineStr">
        <is>
          <t>P0</t>
        </is>
      </c>
      <c r="E6" s="9" t="n">
        <v>8</v>
      </c>
      <c r="F6" s="13" t="inlineStr">
        <is>
          <t>■</t>
        </is>
      </c>
      <c r="G6" s="9" t="n"/>
      <c r="H6" s="9" t="n"/>
      <c r="I6" s="9" t="n"/>
      <c r="J6" s="9" t="n"/>
      <c r="K6" s="9" t="n"/>
      <c r="L6" s="9" t="n"/>
      <c r="M6" s="9" t="n"/>
    </row>
    <row r="7">
      <c r="A7" s="9" t="inlineStr">
        <is>
          <t>P04</t>
        </is>
      </c>
      <c r="B7" s="10" t="inlineStr">
        <is>
          <t>Vẽ user flow và wireframe cho 5 chức năng trong kịch bản</t>
        </is>
      </c>
      <c r="C7" s="9" t="inlineStr">
        <is>
          <t>Người D</t>
        </is>
      </c>
      <c r="D7" s="9" t="inlineStr">
        <is>
          <t>P0</t>
        </is>
      </c>
      <c r="E7" s="9" t="n">
        <v>8</v>
      </c>
      <c r="F7" s="14" t="inlineStr">
        <is>
          <t>■</t>
        </is>
      </c>
      <c r="G7" s="9" t="n"/>
      <c r="H7" s="9" t="n"/>
      <c r="I7" s="9" t="n"/>
      <c r="J7" s="9" t="n"/>
      <c r="K7" s="9" t="n"/>
      <c r="L7" s="9" t="n"/>
      <c r="M7" s="9" t="n"/>
    </row>
    <row r="8">
      <c r="A8" s="9" t="inlineStr">
        <is>
          <t>P05</t>
        </is>
      </c>
      <c r="B8" s="10" t="inlineStr">
        <is>
          <t>Khởi tạo TypeScript + Manifest V3, build/lint/test và cấu trúc module</t>
        </is>
      </c>
      <c r="C8" s="9" t="inlineStr">
        <is>
          <t>Người A</t>
        </is>
      </c>
      <c r="D8" s="9" t="inlineStr">
        <is>
          <t>P0</t>
        </is>
      </c>
      <c r="E8" s="9" t="n">
        <v>8</v>
      </c>
      <c r="F8" s="11" t="inlineStr">
        <is>
          <t>■</t>
        </is>
      </c>
      <c r="G8" s="11" t="inlineStr">
        <is>
          <t>■</t>
        </is>
      </c>
      <c r="H8" s="9" t="n"/>
      <c r="I8" s="9" t="n"/>
      <c r="J8" s="9" t="n"/>
      <c r="K8" s="9" t="n"/>
      <c r="L8" s="9" t="n"/>
      <c r="M8" s="9" t="n"/>
    </row>
    <row r="9">
      <c r="A9" s="9" t="inlineStr">
        <is>
          <t>P06</t>
        </is>
      </c>
      <c r="B9" s="10" t="inlineStr">
        <is>
          <t>Khởi tạo Python API, cấu hình môi trường, health check và test framework</t>
        </is>
      </c>
      <c r="C9" s="9" t="inlineStr">
        <is>
          <t>Người B</t>
        </is>
      </c>
      <c r="D9" s="9" t="inlineStr">
        <is>
          <t>P0</t>
        </is>
      </c>
      <c r="E9" s="9" t="n">
        <v>8</v>
      </c>
      <c r="F9" s="12" t="inlineStr">
        <is>
          <t>■</t>
        </is>
      </c>
      <c r="G9" s="12" t="inlineStr">
        <is>
          <t>■</t>
        </is>
      </c>
      <c r="H9" s="9" t="n"/>
      <c r="I9" s="9" t="n"/>
      <c r="J9" s="9" t="n"/>
      <c r="K9" s="9" t="n"/>
      <c r="L9" s="9" t="n"/>
      <c r="M9" s="9" t="n"/>
    </row>
    <row r="10">
      <c r="A10" s="9" t="inlineStr">
        <is>
          <t>P07</t>
        </is>
      </c>
      <c r="B10" s="10" t="inlineStr">
        <is>
          <t>Khởi tạo AI service/adapter cho local provider và mock provider</t>
        </is>
      </c>
      <c r="C10" s="9" t="inlineStr">
        <is>
          <t>Người C</t>
        </is>
      </c>
      <c r="D10" s="9" t="inlineStr">
        <is>
          <t>P0</t>
        </is>
      </c>
      <c r="E10" s="9" t="n">
        <v>8</v>
      </c>
      <c r="F10" s="13" t="inlineStr">
        <is>
          <t>■</t>
        </is>
      </c>
      <c r="G10" s="13" t="inlineStr">
        <is>
          <t>■</t>
        </is>
      </c>
      <c r="H10" s="9" t="n"/>
      <c r="I10" s="9" t="n"/>
      <c r="J10" s="9" t="n"/>
      <c r="K10" s="9" t="n"/>
      <c r="L10" s="9" t="n"/>
      <c r="M10" s="9" t="n"/>
    </row>
    <row r="11">
      <c r="A11" s="9" t="inlineStr">
        <is>
          <t>P08</t>
        </is>
      </c>
      <c r="B11" s="10" t="inlineStr">
        <is>
          <t>Lập test strategy, traceability matrix từ kịch bản và Definition of Done</t>
        </is>
      </c>
      <c r="C11" s="9" t="inlineStr">
        <is>
          <t>Người D</t>
        </is>
      </c>
      <c r="D11" s="9" t="inlineStr">
        <is>
          <t>P0</t>
        </is>
      </c>
      <c r="E11" s="9" t="n">
        <v>6</v>
      </c>
      <c r="F11" s="14" t="inlineStr">
        <is>
          <t>■</t>
        </is>
      </c>
      <c r="G11" s="14" t="inlineStr">
        <is>
          <t>■</t>
        </is>
      </c>
      <c r="H11" s="9" t="n"/>
      <c r="I11" s="9" t="n"/>
      <c r="J11" s="9" t="n"/>
      <c r="K11" s="9" t="n"/>
      <c r="L11" s="9" t="n"/>
      <c r="M11" s="9" t="n"/>
    </row>
    <row r="12">
      <c r="A12" s="9" t="inlineStr">
        <is>
          <t>A01</t>
        </is>
      </c>
      <c r="B12" s="10" t="inlineStr">
        <is>
          <t>Thiết kế schema user/note/chunk/category/quota và migration</t>
        </is>
      </c>
      <c r="C12" s="9" t="inlineStr">
        <is>
          <t>Người B</t>
        </is>
      </c>
      <c r="D12" s="9" t="inlineStr">
        <is>
          <t>P0</t>
        </is>
      </c>
      <c r="E12" s="9" t="n">
        <v>8</v>
      </c>
      <c r="F12" s="9" t="n"/>
      <c r="G12" s="12" t="inlineStr">
        <is>
          <t>■</t>
        </is>
      </c>
      <c r="H12" s="9" t="n"/>
      <c r="I12" s="9" t="n"/>
      <c r="J12" s="9" t="n"/>
      <c r="K12" s="9" t="n"/>
      <c r="L12" s="9" t="n"/>
      <c r="M12" s="9" t="n"/>
    </row>
    <row r="13">
      <c r="A13" s="9" t="inlineStr">
        <is>
          <t>A02</t>
        </is>
      </c>
      <c r="B13" s="10" t="inlineStr">
        <is>
          <t>Xây dựng đăng ký/đăng nhập, hash mật khẩu và token/session</t>
        </is>
      </c>
      <c r="C13" s="9" t="inlineStr">
        <is>
          <t>Người B</t>
        </is>
      </c>
      <c r="D13" s="9" t="inlineStr">
        <is>
          <t>P0</t>
        </is>
      </c>
      <c r="E13" s="9" t="n">
        <v>10</v>
      </c>
      <c r="F13" s="9" t="n"/>
      <c r="G13" s="12" t="inlineStr">
        <is>
          <t>■</t>
        </is>
      </c>
      <c r="H13" s="12" t="inlineStr">
        <is>
          <t>■</t>
        </is>
      </c>
      <c r="I13" s="9" t="n"/>
      <c r="J13" s="9" t="n"/>
      <c r="K13" s="9" t="n"/>
      <c r="L13" s="9" t="n"/>
      <c r="M13" s="9" t="n"/>
    </row>
    <row r="14">
      <c r="A14" s="9" t="inlineStr">
        <is>
          <t>A03</t>
        </is>
      </c>
      <c r="B14" s="10" t="inlineStr">
        <is>
          <t>Tích hợp đăng nhập và lưu token an toàn trong extension</t>
        </is>
      </c>
      <c r="C14" s="9" t="inlineStr">
        <is>
          <t>Người A</t>
        </is>
      </c>
      <c r="D14" s="9" t="inlineStr">
        <is>
          <t>P0</t>
        </is>
      </c>
      <c r="E14" s="9" t="n">
        <v>8</v>
      </c>
      <c r="F14" s="9" t="n"/>
      <c r="G14" s="11" t="inlineStr">
        <is>
          <t>■</t>
        </is>
      </c>
      <c r="H14" s="11" t="inlineStr">
        <is>
          <t>■</t>
        </is>
      </c>
      <c r="I14" s="9" t="n"/>
      <c r="J14" s="9" t="n"/>
      <c r="K14" s="9" t="n"/>
      <c r="L14" s="9" t="n"/>
      <c r="M14" s="9" t="n"/>
    </row>
    <row r="15">
      <c r="A15" s="9" t="inlineStr">
        <is>
          <t>A04</t>
        </is>
      </c>
      <c r="B15" s="10" t="inlineStr">
        <is>
          <t>Xây dựng quota middleware và nhật ký tiêu hao AI</t>
        </is>
      </c>
      <c r="C15" s="9" t="inlineStr">
        <is>
          <t>Người B</t>
        </is>
      </c>
      <c r="D15" s="9" t="inlineStr">
        <is>
          <t>P0</t>
        </is>
      </c>
      <c r="E15" s="9" t="n">
        <v>8</v>
      </c>
      <c r="F15" s="9" t="n"/>
      <c r="G15" s="9" t="n"/>
      <c r="H15" s="12" t="inlineStr">
        <is>
          <t>■</t>
        </is>
      </c>
      <c r="I15" s="9" t="n"/>
      <c r="J15" s="9" t="n"/>
      <c r="K15" s="9" t="n"/>
      <c r="L15" s="9" t="n"/>
      <c r="M15" s="9" t="n"/>
    </row>
    <row r="16">
      <c r="A16" s="9" t="inlineStr">
        <is>
          <t>A05</t>
        </is>
      </c>
      <c r="B16" s="10" t="inlineStr">
        <is>
          <t>Xây design system và app shell: loading/empty/error/toast/modal</t>
        </is>
      </c>
      <c r="C16" s="9" t="inlineStr">
        <is>
          <t>Người D</t>
        </is>
      </c>
      <c r="D16" s="9" t="inlineStr">
        <is>
          <t>P0</t>
        </is>
      </c>
      <c r="E16" s="9" t="n">
        <v>8</v>
      </c>
      <c r="F16" s="9" t="n"/>
      <c r="G16" s="14" t="inlineStr">
        <is>
          <t>■</t>
        </is>
      </c>
      <c r="H16" s="14" t="inlineStr">
        <is>
          <t>■</t>
        </is>
      </c>
      <c r="I16" s="9" t="n"/>
      <c r="J16" s="9" t="n"/>
      <c r="K16" s="9" t="n"/>
      <c r="L16" s="9" t="n"/>
      <c r="M16" s="9" t="n"/>
    </row>
    <row r="17">
      <c r="A17" s="9" t="inlineStr">
        <is>
          <t>N01</t>
        </is>
      </c>
      <c r="B17" s="10" t="inlineStr">
        <is>
          <t>Bắt selection, context menu và phím Ctrl-Alt-N</t>
        </is>
      </c>
      <c r="C17" s="9" t="inlineStr">
        <is>
          <t>Người A</t>
        </is>
      </c>
      <c r="D17" s="9" t="inlineStr">
        <is>
          <t>P0</t>
        </is>
      </c>
      <c r="E17" s="9" t="n">
        <v>8</v>
      </c>
      <c r="F17" s="9" t="n"/>
      <c r="G17" s="9" t="n"/>
      <c r="H17" s="11" t="inlineStr">
        <is>
          <t>■</t>
        </is>
      </c>
      <c r="I17" s="9" t="n"/>
      <c r="J17" s="9" t="n"/>
      <c r="K17" s="9" t="n"/>
      <c r="L17" s="9" t="n"/>
      <c r="M17" s="9" t="n"/>
    </row>
    <row r="18">
      <c r="A18" s="9" t="inlineStr">
        <is>
          <t>N02</t>
        </is>
      </c>
      <c r="B18" s="10" t="inlineStr">
        <is>
          <t>Popup snippet, đếm ngược 5 giây và hoàn tác Ctrl-Alt-Z</t>
        </is>
      </c>
      <c r="C18" s="9" t="inlineStr">
        <is>
          <t>Người D</t>
        </is>
      </c>
      <c r="D18" s="9" t="inlineStr">
        <is>
          <t>P0</t>
        </is>
      </c>
      <c r="E18" s="9" t="n">
        <v>8</v>
      </c>
      <c r="F18" s="9" t="n"/>
      <c r="G18" s="9" t="n"/>
      <c r="H18" s="14" t="inlineStr">
        <is>
          <t>■</t>
        </is>
      </c>
      <c r="I18" s="14" t="inlineStr">
        <is>
          <t>■</t>
        </is>
      </c>
      <c r="J18" s="9" t="n"/>
      <c r="K18" s="9" t="n"/>
      <c r="L18" s="9" t="n"/>
      <c r="M18" s="9" t="n"/>
    </row>
    <row r="19">
      <c r="A19" s="9" t="inlineStr">
        <is>
          <t>N03</t>
        </is>
      </c>
      <c r="B19" s="10" t="inlineStr">
        <is>
          <t>Cài API tạo note nhanh, xác thực ownership và lưu PostgreSQL</t>
        </is>
      </c>
      <c r="C19" s="9" t="inlineStr">
        <is>
          <t>Người B</t>
        </is>
      </c>
      <c r="D19" s="9" t="inlineStr">
        <is>
          <t>P0</t>
        </is>
      </c>
      <c r="E19" s="9" t="n">
        <v>10</v>
      </c>
      <c r="F19" s="9" t="n"/>
      <c r="G19" s="9" t="n"/>
      <c r="H19" s="12" t="inlineStr">
        <is>
          <t>■</t>
        </is>
      </c>
      <c r="I19" s="12" t="inlineStr">
        <is>
          <t>■</t>
        </is>
      </c>
      <c r="J19" s="9" t="n"/>
      <c r="K19" s="9" t="n"/>
      <c r="L19" s="9" t="n"/>
      <c r="M19" s="9" t="n"/>
    </row>
    <row r="20">
      <c r="A20" s="9" t="inlineStr">
        <is>
          <t>N04</t>
        </is>
      </c>
      <c r="B20" s="10" t="inlineStr">
        <is>
          <t>Cài semantic chunking + embedding, định danh chunk UUID</t>
        </is>
      </c>
      <c r="C20" s="9" t="inlineStr">
        <is>
          <t>Người C</t>
        </is>
      </c>
      <c r="D20" s="9" t="inlineStr">
        <is>
          <t>P0</t>
        </is>
      </c>
      <c r="E20" s="9" t="n">
        <v>10</v>
      </c>
      <c r="F20" s="9" t="n"/>
      <c r="G20" s="9" t="n"/>
      <c r="H20" s="13" t="inlineStr">
        <is>
          <t>■</t>
        </is>
      </c>
      <c r="I20" s="13" t="inlineStr">
        <is>
          <t>■</t>
        </is>
      </c>
      <c r="J20" s="9" t="n"/>
      <c r="K20" s="9" t="n"/>
      <c r="L20" s="9" t="n"/>
      <c r="M20" s="9" t="n"/>
    </row>
    <row r="21">
      <c r="A21" s="9" t="inlineStr">
        <is>
          <t>N05</t>
        </is>
      </c>
      <c r="B21" s="10" t="inlineStr">
        <is>
          <t>Lưu vector pgvector và cập nhật quota sau xử lý</t>
        </is>
      </c>
      <c r="C21" s="9" t="inlineStr">
        <is>
          <t>Người C</t>
        </is>
      </c>
      <c r="D21" s="9" t="inlineStr">
        <is>
          <t>P0</t>
        </is>
      </c>
      <c r="E21" s="9" t="n">
        <v>8</v>
      </c>
      <c r="F21" s="9" t="n"/>
      <c r="G21" s="9" t="n"/>
      <c r="H21" s="9" t="n"/>
      <c r="I21" s="13" t="inlineStr">
        <is>
          <t>■</t>
        </is>
      </c>
      <c r="J21" s="9" t="n"/>
      <c r="K21" s="9" t="n"/>
      <c r="L21" s="9" t="n"/>
      <c r="M21" s="9" t="n"/>
    </row>
    <row r="22">
      <c r="A22" s="9" t="inlineStr">
        <is>
          <t>N06</t>
        </is>
      </c>
      <c r="B22" s="10" t="inlineStr">
        <is>
          <t>Local state cho hàng chờ, retry và trạng thái note</t>
        </is>
      </c>
      <c r="C22" s="9" t="inlineStr">
        <is>
          <t>Người A</t>
        </is>
      </c>
      <c r="D22" s="9" t="inlineStr">
        <is>
          <t>P0</t>
        </is>
      </c>
      <c r="E22" s="9" t="n">
        <v>8</v>
      </c>
      <c r="F22" s="9" t="n"/>
      <c r="G22" s="9" t="n"/>
      <c r="H22" s="9" t="n"/>
      <c r="I22" s="11" t="inlineStr">
        <is>
          <t>■</t>
        </is>
      </c>
      <c r="J22" s="9" t="n"/>
      <c r="K22" s="9" t="n"/>
      <c r="L22" s="9" t="n"/>
      <c r="M22" s="9" t="n"/>
    </row>
    <row r="23">
      <c r="A23" s="9" t="inlineStr">
        <is>
          <t>N07</t>
        </is>
      </c>
      <c r="B23" s="10" t="inlineStr">
        <is>
          <t>Kiểm thử E2E ghi chú nhanh, undo, hết quota và mất mạng</t>
        </is>
      </c>
      <c r="C23" s="9" t="inlineStr">
        <is>
          <t>Người D</t>
        </is>
      </c>
      <c r="D23" s="9" t="inlineStr">
        <is>
          <t>P0</t>
        </is>
      </c>
      <c r="E23" s="9" t="n">
        <v>6</v>
      </c>
      <c r="F23" s="9" t="n"/>
      <c r="G23" s="9" t="n"/>
      <c r="H23" s="9" t="n"/>
      <c r="I23" s="14" t="inlineStr">
        <is>
          <t>■</t>
        </is>
      </c>
      <c r="J23" s="9" t="n"/>
      <c r="K23" s="9" t="n"/>
      <c r="L23" s="9" t="n"/>
      <c r="M23" s="9" t="n"/>
    </row>
    <row r="24">
      <c r="A24" s="9" t="inlineStr">
        <is>
          <t>C01</t>
        </is>
      </c>
      <c r="B24" s="10" t="inlineStr">
        <is>
          <t>API GET/PUT/DELETE note, filter metadata/category và bulk delete</t>
        </is>
      </c>
      <c r="C24" s="9" t="inlineStr">
        <is>
          <t>Người B</t>
        </is>
      </c>
      <c r="D24" s="9" t="inlineStr">
        <is>
          <t>P0</t>
        </is>
      </c>
      <c r="E24" s="9" t="n">
        <v>10</v>
      </c>
      <c r="F24" s="9" t="n"/>
      <c r="G24" s="9" t="n"/>
      <c r="H24" s="9" t="n"/>
      <c r="I24" s="12" t="inlineStr">
        <is>
          <t>■</t>
        </is>
      </c>
      <c r="J24" s="12" t="inlineStr">
        <is>
          <t>■</t>
        </is>
      </c>
      <c r="K24" s="9" t="n"/>
      <c r="L24" s="9" t="n"/>
      <c r="M24" s="9" t="n"/>
    </row>
    <row r="25">
      <c r="A25" s="9" t="inlineStr">
        <is>
          <t>C02</t>
        </is>
      </c>
      <c r="B25" s="10" t="inlineStr">
        <is>
          <t>IndexedDB cache/offline storage và chiến lược sync</t>
        </is>
      </c>
      <c r="C25" s="9" t="inlineStr">
        <is>
          <t>Người A</t>
        </is>
      </c>
      <c r="D25" s="9" t="inlineStr">
        <is>
          <t>P0</t>
        </is>
      </c>
      <c r="E25" s="9" t="n">
        <v>10</v>
      </c>
      <c r="F25" s="9" t="n"/>
      <c r="G25" s="9" t="n"/>
      <c r="H25" s="9" t="n"/>
      <c r="I25" s="11" t="inlineStr">
        <is>
          <t>■</t>
        </is>
      </c>
      <c r="J25" s="11" t="inlineStr">
        <is>
          <t>■</t>
        </is>
      </c>
      <c r="K25" s="9" t="n"/>
      <c r="L25" s="9" t="n"/>
      <c r="M25" s="9" t="n"/>
    </row>
    <row r="26">
      <c r="A26" s="9" t="inlineStr">
        <is>
          <t>C03</t>
        </is>
      </c>
      <c r="B26" s="10" t="inlineStr">
        <is>
          <t>Màn hình danh sách/chi tiết/sửa/xoá note và phân mục</t>
        </is>
      </c>
      <c r="C26" s="9" t="inlineStr">
        <is>
          <t>Người D</t>
        </is>
      </c>
      <c r="D26" s="9" t="inlineStr">
        <is>
          <t>P0</t>
        </is>
      </c>
      <c r="E26" s="9" t="n">
        <v>10</v>
      </c>
      <c r="F26" s="9" t="n"/>
      <c r="G26" s="9" t="n"/>
      <c r="H26" s="9" t="n"/>
      <c r="I26" s="14" t="inlineStr">
        <is>
          <t>■</t>
        </is>
      </c>
      <c r="J26" s="14" t="inlineStr">
        <is>
          <t>■</t>
        </is>
      </c>
      <c r="K26" s="9" t="n"/>
      <c r="L26" s="9" t="n"/>
      <c r="M26" s="9" t="n"/>
    </row>
    <row r="27">
      <c r="A27" s="9" t="inlineStr">
        <is>
          <t>C04</t>
        </is>
      </c>
      <c r="B27" s="10" t="inlineStr">
        <is>
          <t>Tích hợp metadata, category filter và đồng bộ trạng thái UI</t>
        </is>
      </c>
      <c r="C27" s="9" t="inlineStr">
        <is>
          <t>Người A</t>
        </is>
      </c>
      <c r="D27" s="9" t="inlineStr">
        <is>
          <t>P0</t>
        </is>
      </c>
      <c r="E27" s="9" t="n">
        <v>6</v>
      </c>
      <c r="F27" s="9" t="n"/>
      <c r="G27" s="9" t="n"/>
      <c r="H27" s="9" t="n"/>
      <c r="I27" s="9" t="n"/>
      <c r="J27" s="11" t="inlineStr">
        <is>
          <t>■</t>
        </is>
      </c>
      <c r="K27" s="9" t="n"/>
      <c r="L27" s="9" t="n"/>
      <c r="M27" s="9" t="n"/>
    </row>
    <row r="28">
      <c r="A28" s="9" t="inlineStr">
        <is>
          <t>C05</t>
        </is>
      </c>
      <c r="B28" s="10" t="inlineStr">
        <is>
          <t>Test CRUD, cache-first, offline, sync conflict và xoá hàng loạt</t>
        </is>
      </c>
      <c r="C28" s="9" t="inlineStr">
        <is>
          <t>Người D</t>
        </is>
      </c>
      <c r="D28" s="9" t="inlineStr">
        <is>
          <t>P0</t>
        </is>
      </c>
      <c r="E28" s="9" t="n">
        <v>6</v>
      </c>
      <c r="F28" s="9" t="n"/>
      <c r="G28" s="9" t="n"/>
      <c r="H28" s="9" t="n"/>
      <c r="I28" s="9" t="n"/>
      <c r="J28" s="14" t="inlineStr">
        <is>
          <t>■</t>
        </is>
      </c>
      <c r="K28" s="9" t="n"/>
      <c r="L28" s="9" t="n"/>
      <c r="M28" s="9" t="n"/>
    </row>
    <row r="29">
      <c r="A29" s="9" t="inlineStr">
        <is>
          <t>R01</t>
        </is>
      </c>
      <c r="B29" s="10" t="inlineStr">
        <is>
          <t>Xây hybrid retrieval: BM25 + cosine similarity + search pool theo user</t>
        </is>
      </c>
      <c r="C29" s="9" t="inlineStr">
        <is>
          <t>Người C</t>
        </is>
      </c>
      <c r="D29" s="9" t="inlineStr">
        <is>
          <t>P0</t>
        </is>
      </c>
      <c r="E29" s="9" t="n">
        <v>12</v>
      </c>
      <c r="F29" s="9" t="n"/>
      <c r="G29" s="9" t="n"/>
      <c r="H29" s="9" t="n"/>
      <c r="I29" s="13" t="inlineStr">
        <is>
          <t>■</t>
        </is>
      </c>
      <c r="J29" s="13" t="inlineStr">
        <is>
          <t>■</t>
        </is>
      </c>
      <c r="K29" s="9" t="n"/>
      <c r="L29" s="9" t="n"/>
      <c r="M29" s="9" t="n"/>
    </row>
    <row r="30">
      <c r="A30" s="9" t="inlineStr">
        <is>
          <t>R02</t>
        </is>
      </c>
      <c r="B30" s="10" t="inlineStr">
        <is>
          <t>Tích hợp rerank top-k và fallback khi provider lỗi</t>
        </is>
      </c>
      <c r="C30" s="9" t="inlineStr">
        <is>
          <t>Người C</t>
        </is>
      </c>
      <c r="D30" s="9" t="inlineStr">
        <is>
          <t>P0</t>
        </is>
      </c>
      <c r="E30" s="9" t="n">
        <v>8</v>
      </c>
      <c r="F30" s="9" t="n"/>
      <c r="G30" s="9" t="n"/>
      <c r="H30" s="9" t="n"/>
      <c r="I30" s="9" t="n"/>
      <c r="J30" s="13" t="inlineStr">
        <is>
          <t>■</t>
        </is>
      </c>
      <c r="K30" s="9" t="n"/>
      <c r="L30" s="9" t="n"/>
      <c r="M30" s="9" t="n"/>
    </row>
    <row r="31">
      <c r="A31" s="9" t="inlineStr">
        <is>
          <t>R03</t>
        </is>
      </c>
      <c r="B31" s="10" t="inlineStr">
        <is>
          <t>Cài POST /search/ranking: auth, quota, metadata filter và response</t>
        </is>
      </c>
      <c r="C31" s="9" t="inlineStr">
        <is>
          <t>Người B</t>
        </is>
      </c>
      <c r="D31" s="9" t="inlineStr">
        <is>
          <t>P0</t>
        </is>
      </c>
      <c r="E31" s="9" t="n">
        <v>10</v>
      </c>
      <c r="F31" s="9" t="n"/>
      <c r="G31" s="9" t="n"/>
      <c r="H31" s="9" t="n"/>
      <c r="I31" s="9" t="n"/>
      <c r="J31" s="12" t="inlineStr">
        <is>
          <t>■</t>
        </is>
      </c>
      <c r="K31" s="12" t="inlineStr">
        <is>
          <t>■</t>
        </is>
      </c>
      <c r="L31" s="9" t="n"/>
      <c r="M31" s="9" t="n"/>
    </row>
    <row r="32">
      <c r="A32" s="9" t="inlineStr">
        <is>
          <t>R04</t>
        </is>
      </c>
      <c r="B32" s="10" t="inlineStr">
        <is>
          <t>Màn hình tìm kiếm/chat, gọi API và render chunk/rank</t>
        </is>
      </c>
      <c r="C32" s="9" t="inlineStr">
        <is>
          <t>Người A</t>
        </is>
      </c>
      <c r="D32" s="9" t="inlineStr">
        <is>
          <t>P0</t>
        </is>
      </c>
      <c r="E32" s="9" t="n">
        <v>8</v>
      </c>
      <c r="F32" s="9" t="n"/>
      <c r="G32" s="9" t="n"/>
      <c r="H32" s="9" t="n"/>
      <c r="I32" s="9" t="n"/>
      <c r="J32" s="11" t="inlineStr">
        <is>
          <t>■</t>
        </is>
      </c>
      <c r="K32" s="11" t="inlineStr">
        <is>
          <t>■</t>
        </is>
      </c>
      <c r="L32" s="9" t="n"/>
      <c r="M32" s="9" t="n"/>
    </row>
    <row r="33">
      <c r="A33" s="9" t="inlineStr">
        <is>
          <t>R05</t>
        </is>
      </c>
      <c r="B33" s="10" t="inlineStr">
        <is>
          <t>Đánh giá trải nghiệm kết quả RAG và test phân quyền/quota</t>
        </is>
      </c>
      <c r="C33" s="9" t="inlineStr">
        <is>
          <t>Người D</t>
        </is>
      </c>
      <c r="D33" s="9" t="inlineStr">
        <is>
          <t>P0</t>
        </is>
      </c>
      <c r="E33" s="9" t="n">
        <v>6</v>
      </c>
      <c r="F33" s="9" t="n"/>
      <c r="G33" s="9" t="n"/>
      <c r="H33" s="9" t="n"/>
      <c r="I33" s="9" t="n"/>
      <c r="J33" s="9" t="n"/>
      <c r="K33" s="14" t="inlineStr">
        <is>
          <t>■</t>
        </is>
      </c>
      <c r="L33" s="9" t="n"/>
      <c r="M33" s="9" t="n"/>
    </row>
    <row r="34">
      <c r="A34" s="9" t="inlineStr">
        <is>
          <t>S01</t>
        </is>
      </c>
      <c r="B34" s="10" t="inlineStr">
        <is>
          <t>Readability extraction, session UUID theo tab+user</t>
        </is>
      </c>
      <c r="C34" s="9" t="inlineStr">
        <is>
          <t>Người A</t>
        </is>
      </c>
      <c r="D34" s="9" t="inlineStr">
        <is>
          <t>P1</t>
        </is>
      </c>
      <c r="E34" s="9" t="n">
        <v>8</v>
      </c>
      <c r="F34" s="9" t="n"/>
      <c r="G34" s="9" t="n"/>
      <c r="H34" s="9" t="n"/>
      <c r="I34" s="9" t="n"/>
      <c r="J34" s="9" t="n"/>
      <c r="K34" s="11" t="inlineStr">
        <is>
          <t>■</t>
        </is>
      </c>
      <c r="L34" s="9" t="n"/>
      <c r="M34" s="9" t="n"/>
    </row>
    <row r="35">
      <c r="A35" s="9" t="inlineStr">
        <is>
          <t>S02</t>
        </is>
      </c>
      <c r="B35" s="10" t="inlineStr">
        <is>
          <t>Cài /skim/prepare, /skim/search và bộ nhớ session có TTL</t>
        </is>
      </c>
      <c r="C35" s="9" t="inlineStr">
        <is>
          <t>Người C</t>
        </is>
      </c>
      <c r="D35" s="9" t="inlineStr">
        <is>
          <t>P1</t>
        </is>
      </c>
      <c r="E35" s="9" t="n">
        <v>10</v>
      </c>
      <c r="F35" s="9" t="n"/>
      <c r="G35" s="9" t="n"/>
      <c r="H35" s="9" t="n"/>
      <c r="I35" s="9" t="n"/>
      <c r="J35" s="9" t="n"/>
      <c r="K35" s="13" t="inlineStr">
        <is>
          <t>■</t>
        </is>
      </c>
      <c r="L35" s="13" t="inlineStr">
        <is>
          <t>■</t>
        </is>
      </c>
      <c r="M35" s="9" t="n"/>
    </row>
    <row r="36">
      <c r="A36" s="9" t="inlineStr">
        <is>
          <t>S03</t>
        </is>
      </c>
      <c r="B36" s="10" t="inlineStr">
        <is>
          <t>Pipeline chunk/embed/search/rerank tạm thời cho nội dung trang</t>
        </is>
      </c>
      <c r="C36" s="9" t="inlineStr">
        <is>
          <t>Người C</t>
        </is>
      </c>
      <c r="D36" s="9" t="inlineStr">
        <is>
          <t>P1</t>
        </is>
      </c>
      <c r="E36" s="9" t="n">
        <v>10</v>
      </c>
      <c r="F36" s="9" t="n"/>
      <c r="G36" s="9" t="n"/>
      <c r="H36" s="9" t="n"/>
      <c r="I36" s="9" t="n"/>
      <c r="J36" s="9" t="n"/>
      <c r="K36" s="13" t="inlineStr">
        <is>
          <t>■</t>
        </is>
      </c>
      <c r="L36" s="13" t="inlineStr">
        <is>
          <t>■</t>
        </is>
      </c>
      <c r="M36" s="9" t="n"/>
    </row>
    <row r="37">
      <c r="A37" s="9" t="inlineStr">
        <is>
          <t>S04</t>
        </is>
      </c>
      <c r="B37" s="10" t="inlineStr">
        <is>
          <t>UI prompt, hint chuẩn bị/tìm kiếm, preview và chọn đoạn để lưu</t>
        </is>
      </c>
      <c r="C37" s="9" t="inlineStr">
        <is>
          <t>Người D</t>
        </is>
      </c>
      <c r="D37" s="9" t="inlineStr">
        <is>
          <t>P1</t>
        </is>
      </c>
      <c r="E37" s="9" t="n">
        <v>8</v>
      </c>
      <c r="F37" s="9" t="n"/>
      <c r="G37" s="9" t="n"/>
      <c r="H37" s="9" t="n"/>
      <c r="I37" s="9" t="n"/>
      <c r="J37" s="9" t="n"/>
      <c r="K37" s="14" t="inlineStr">
        <is>
          <t>■</t>
        </is>
      </c>
      <c r="L37" s="14" t="inlineStr">
        <is>
          <t>■</t>
        </is>
      </c>
      <c r="M37" s="9" t="n"/>
    </row>
    <row r="38">
      <c r="A38" s="9" t="inlineStr">
        <is>
          <t>S05</t>
        </is>
      </c>
      <c r="B38" s="10" t="inlineStr">
        <is>
          <t>Cài lưu các chunk đã chọn qua contract note thống nhất</t>
        </is>
      </c>
      <c r="C38" s="9" t="inlineStr">
        <is>
          <t>Người B</t>
        </is>
      </c>
      <c r="D38" s="9" t="inlineStr">
        <is>
          <t>P1</t>
        </is>
      </c>
      <c r="E38" s="9" t="n">
        <v>6</v>
      </c>
      <c r="F38" s="9" t="n"/>
      <c r="G38" s="9" t="n"/>
      <c r="H38" s="9" t="n"/>
      <c r="I38" s="9" t="n"/>
      <c r="J38" s="9" t="n"/>
      <c r="K38" s="9" t="n"/>
      <c r="L38" s="12" t="inlineStr">
        <is>
          <t>■</t>
        </is>
      </c>
      <c r="M38" s="9" t="n"/>
    </row>
    <row r="39">
      <c r="A39" s="9" t="inlineStr">
        <is>
          <t>S06</t>
        </is>
      </c>
      <c r="B39" s="10" t="inlineStr">
        <is>
          <t>E2E skim: trang dài, chưa ready, hết quota, session hết hạn</t>
        </is>
      </c>
      <c r="C39" s="9" t="inlineStr">
        <is>
          <t>Người D</t>
        </is>
      </c>
      <c r="D39" s="9" t="inlineStr">
        <is>
          <t>P1</t>
        </is>
      </c>
      <c r="E39" s="9" t="n">
        <v>6</v>
      </c>
      <c r="F39" s="9" t="n"/>
      <c r="G39" s="9" t="n"/>
      <c r="H39" s="9" t="n"/>
      <c r="I39" s="9" t="n"/>
      <c r="J39" s="9" t="n"/>
      <c r="K39" s="9" t="n"/>
      <c r="L39" s="14" t="inlineStr">
        <is>
          <t>■</t>
        </is>
      </c>
      <c r="M39" s="9" t="n"/>
    </row>
    <row r="40">
      <c r="A40" s="9" t="inlineStr">
        <is>
          <t>G01</t>
        </is>
      </c>
      <c r="B40" s="10" t="inlineStr">
        <is>
          <t>Đặc tả riêng chức năng Tóm tắt nội dung đang thiếu trong file kịch bản</t>
        </is>
      </c>
      <c r="C40" s="9" t="inlineStr">
        <is>
          <t>Người D</t>
        </is>
      </c>
      <c r="D40" s="9" t="inlineStr">
        <is>
          <t>P1</t>
        </is>
      </c>
      <c r="E40" s="9" t="n">
        <v>5</v>
      </c>
      <c r="F40" s="9" t="n"/>
      <c r="G40" s="14" t="inlineStr">
        <is>
          <t>■</t>
        </is>
      </c>
      <c r="H40" s="9" t="n"/>
      <c r="I40" s="9" t="n"/>
      <c r="J40" s="9" t="n"/>
      <c r="K40" s="9" t="n"/>
      <c r="L40" s="9" t="n"/>
      <c r="M40" s="9" t="n"/>
    </row>
    <row r="41">
      <c r="A41" s="9" t="inlineStr">
        <is>
          <t>G02</t>
        </is>
      </c>
      <c r="B41" s="10" t="inlineStr">
        <is>
          <t>Chốt lịch trình cá nhân, dữ liệu profile và cơ chế consent</t>
        </is>
      </c>
      <c r="C41" s="9" t="inlineStr">
        <is>
          <t>Người A</t>
        </is>
      </c>
      <c r="D41" s="9" t="inlineStr">
        <is>
          <t>P2</t>
        </is>
      </c>
      <c r="E41" s="9" t="n">
        <v>4</v>
      </c>
      <c r="F41" s="9" t="n"/>
      <c r="G41" s="11" t="inlineStr">
        <is>
          <t>■</t>
        </is>
      </c>
      <c r="H41" s="9" t="n"/>
      <c r="I41" s="9" t="n"/>
      <c r="J41" s="9" t="n"/>
      <c r="K41" s="9" t="n"/>
      <c r="L41" s="9" t="n"/>
      <c r="M41" s="9" t="n"/>
    </row>
    <row r="42">
      <c r="A42" s="9" t="inlineStr">
        <is>
          <t>H01</t>
        </is>
      </c>
      <c r="B42" s="10" t="inlineStr">
        <is>
          <t>Rà soát permission MV3, CSP, secret/token và dữ liệu nhạy cảm</t>
        </is>
      </c>
      <c r="C42" s="9" t="inlineStr">
        <is>
          <t>Người A</t>
        </is>
      </c>
      <c r="D42" s="9" t="inlineStr">
        <is>
          <t>P0</t>
        </is>
      </c>
      <c r="E42" s="9" t="n">
        <v>6</v>
      </c>
      <c r="F42" s="9" t="n"/>
      <c r="G42" s="9" t="n"/>
      <c r="H42" s="9" t="n"/>
      <c r="I42" s="9" t="n"/>
      <c r="J42" s="9" t="n"/>
      <c r="K42" s="9" t="n"/>
      <c r="L42" s="11" t="inlineStr">
        <is>
          <t>■</t>
        </is>
      </c>
      <c r="M42" s="11" t="inlineStr">
        <is>
          <t>■</t>
        </is>
      </c>
    </row>
    <row r="43">
      <c r="A43" s="9" t="inlineStr">
        <is>
          <t>H02</t>
        </is>
      </c>
      <c r="B43" s="10" t="inlineStr">
        <is>
          <t>Validation, rate limit, CORS/HTTPS config và kiểm tra ownership API</t>
        </is>
      </c>
      <c r="C43" s="9" t="inlineStr">
        <is>
          <t>Người B</t>
        </is>
      </c>
      <c r="D43" s="9" t="inlineStr">
        <is>
          <t>P0</t>
        </is>
      </c>
      <c r="E43" s="9" t="n">
        <v>8</v>
      </c>
      <c r="F43" s="9" t="n"/>
      <c r="G43" s="9" t="n"/>
      <c r="H43" s="9" t="n"/>
      <c r="I43" s="9" t="n"/>
      <c r="J43" s="9" t="n"/>
      <c r="K43" s="9" t="n"/>
      <c r="L43" s="12" t="inlineStr">
        <is>
          <t>■</t>
        </is>
      </c>
      <c r="M43" s="12" t="inlineStr">
        <is>
          <t>■</t>
        </is>
      </c>
    </row>
    <row r="44">
      <c r="A44" s="9" t="inlineStr">
        <is>
          <t>H03</t>
        </is>
      </c>
      <c r="B44" s="10" t="inlineStr">
        <is>
          <t>Tạo bộ dữ liệu đánh giá và benchmark relevance/latency</t>
        </is>
      </c>
      <c r="C44" s="9" t="inlineStr">
        <is>
          <t>Người C</t>
        </is>
      </c>
      <c r="D44" s="9" t="inlineStr">
        <is>
          <t>P0</t>
        </is>
      </c>
      <c r="E44" s="9" t="n">
        <v>8</v>
      </c>
      <c r="F44" s="9" t="n"/>
      <c r="G44" s="9" t="n"/>
      <c r="H44" s="9" t="n"/>
      <c r="I44" s="9" t="n"/>
      <c r="J44" s="9" t="n"/>
      <c r="K44" s="9" t="n"/>
      <c r="L44" s="13" t="inlineStr">
        <is>
          <t>■</t>
        </is>
      </c>
      <c r="M44" s="13" t="inlineStr">
        <is>
          <t>■</t>
        </is>
      </c>
    </row>
    <row r="45">
      <c r="A45" s="9" t="inlineStr">
        <is>
          <t>H04</t>
        </is>
      </c>
      <c r="B45" s="10" t="inlineStr">
        <is>
          <t>Cấu hình self-host/Dify, health/fallback và tài liệu vận hành</t>
        </is>
      </c>
      <c r="C45" s="9" t="inlineStr">
        <is>
          <t>Người C</t>
        </is>
      </c>
      <c r="D45" s="9" t="inlineStr">
        <is>
          <t>P1</t>
        </is>
      </c>
      <c r="E45" s="9" t="n">
        <v>8</v>
      </c>
      <c r="F45" s="9" t="n"/>
      <c r="G45" s="9" t="n"/>
      <c r="H45" s="9" t="n"/>
      <c r="I45" s="9" t="n"/>
      <c r="J45" s="9" t="n"/>
      <c r="K45" s="9" t="n"/>
      <c r="L45" s="13" t="inlineStr">
        <is>
          <t>■</t>
        </is>
      </c>
      <c r="M45" s="13" t="inlineStr">
        <is>
          <t>■</t>
        </is>
      </c>
    </row>
    <row r="46">
      <c r="A46" s="9" t="inlineStr">
        <is>
          <t>H05</t>
        </is>
      </c>
      <c r="B46" s="10" t="inlineStr">
        <is>
          <t>Regression E2E, usability, accessibility và kiểm thử demo</t>
        </is>
      </c>
      <c r="C46" s="9" t="inlineStr">
        <is>
          <t>Người D</t>
        </is>
      </c>
      <c r="D46" s="9" t="inlineStr">
        <is>
          <t>P0</t>
        </is>
      </c>
      <c r="E46" s="9" t="n">
        <v>10</v>
      </c>
      <c r="F46" s="9" t="n"/>
      <c r="G46" s="9" t="n"/>
      <c r="H46" s="9" t="n"/>
      <c r="I46" s="9" t="n"/>
      <c r="J46" s="9" t="n"/>
      <c r="K46" s="9" t="n"/>
      <c r="L46" s="9" t="n"/>
      <c r="M46" s="14" t="inlineStr">
        <is>
          <t>■</t>
        </is>
      </c>
    </row>
    <row r="47">
      <c r="A47" s="9" t="inlineStr">
        <is>
          <t>H06</t>
        </is>
      </c>
      <c r="B47" s="10" t="inlineStr">
        <is>
          <t>Tối ưu hiệu năng, retry/telemetry và sửa lỗi tích hợp extension</t>
        </is>
      </c>
      <c r="C47" s="9" t="inlineStr">
        <is>
          <t>Người A</t>
        </is>
      </c>
      <c r="D47" s="9" t="inlineStr">
        <is>
          <t>P0</t>
        </is>
      </c>
      <c r="E47" s="9" t="n">
        <v>8</v>
      </c>
      <c r="F47" s="9" t="n"/>
      <c r="G47" s="9" t="n"/>
      <c r="H47" s="9" t="n"/>
      <c r="I47" s="9" t="n"/>
      <c r="J47" s="9" t="n"/>
      <c r="K47" s="9" t="n"/>
      <c r="L47" s="9" t="n"/>
      <c r="M47" s="11" t="inlineStr">
        <is>
          <t>■</t>
        </is>
      </c>
    </row>
    <row r="48">
      <c r="A48" s="9" t="inlineStr">
        <is>
          <t>H07</t>
        </is>
      </c>
      <c r="B48" s="10" t="inlineStr">
        <is>
          <t>Đóng gói backend, migration, cấu hình demo và sửa lỗi tích hợp</t>
        </is>
      </c>
      <c r="C48" s="9" t="inlineStr">
        <is>
          <t>Người B</t>
        </is>
      </c>
      <c r="D48" s="9" t="inlineStr">
        <is>
          <t>P0</t>
        </is>
      </c>
      <c r="E48" s="9" t="n">
        <v>8</v>
      </c>
      <c r="F48" s="9" t="n"/>
      <c r="G48" s="9" t="n"/>
      <c r="H48" s="9" t="n"/>
      <c r="I48" s="9" t="n"/>
      <c r="J48" s="9" t="n"/>
      <c r="K48" s="9" t="n"/>
      <c r="L48" s="9" t="n"/>
      <c r="M48" s="12" t="inlineStr">
        <is>
          <t>■</t>
        </is>
      </c>
    </row>
    <row r="49">
      <c r="A49" s="9" t="inlineStr">
        <is>
          <t>H08</t>
        </is>
      </c>
      <c r="B49" s="10" t="inlineStr">
        <is>
          <t>Hoàn thiện báo cáo, hướng dẫn người dùng và kịch bản thuyết trình</t>
        </is>
      </c>
      <c r="C49" s="9" t="inlineStr">
        <is>
          <t>Người D</t>
        </is>
      </c>
      <c r="D49" s="9" t="inlineStr">
        <is>
          <t>P0</t>
        </is>
      </c>
      <c r="E49" s="9" t="n">
        <v>8</v>
      </c>
      <c r="F49" s="9" t="n"/>
      <c r="G49" s="9" t="n"/>
      <c r="H49" s="9" t="n"/>
      <c r="I49" s="9" t="n"/>
      <c r="J49" s="9" t="n"/>
      <c r="K49" s="9" t="n"/>
      <c r="L49" s="9" t="n"/>
      <c r="M49" s="14" t="inlineStr">
        <is>
          <t>■</t>
        </is>
      </c>
    </row>
  </sheetData>
  <autoFilter ref="A3:M49"/>
  <mergeCells count="1">
    <mergeCell ref="A1:M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TẢI CÔNG VIỆC THEO THÀNH VIÊN — BẢN ẨN DANH</t>
        </is>
      </c>
    </row>
    <row r="2"/>
    <row r="3">
      <c r="A3" s="7" t="inlineStr">
        <is>
          <t>Thành viên</t>
        </is>
      </c>
      <c r="B3" s="7" t="inlineStr">
        <is>
          <t>Vai trò</t>
        </is>
      </c>
      <c r="C3" s="7" t="inlineStr">
        <is>
          <t>Số task</t>
        </is>
      </c>
      <c r="D3" s="7" t="inlineStr">
        <is>
          <t>Tổng giờ</t>
        </is>
      </c>
      <c r="E3" s="7" t="inlineStr">
        <is>
          <t>T1</t>
        </is>
      </c>
      <c r="F3" s="7" t="inlineStr">
        <is>
          <t>T2</t>
        </is>
      </c>
      <c r="G3" s="7" t="inlineStr">
        <is>
          <t>T3</t>
        </is>
      </c>
      <c r="H3" s="7" t="inlineStr">
        <is>
          <t>T4</t>
        </is>
      </c>
      <c r="I3" s="7" t="inlineStr">
        <is>
          <t>T5</t>
        </is>
      </c>
      <c r="J3" s="7" t="inlineStr">
        <is>
          <t>T6</t>
        </is>
      </c>
      <c r="K3" s="7" t="inlineStr">
        <is>
          <t>T7</t>
        </is>
      </c>
      <c r="L3" s="7" t="inlineStr">
        <is>
          <t>T8</t>
        </is>
      </c>
    </row>
    <row r="4">
      <c r="A4" s="3" t="inlineStr">
        <is>
          <t>Người A</t>
        </is>
      </c>
      <c r="B4" s="3" t="inlineStr">
        <is>
          <t>Tech Lead / Browser Extension</t>
        </is>
      </c>
      <c r="C4" s="3">
        <f>COUNTIF('Backlog phân công'!$E$4:$E$49,A4)</f>
        <v/>
      </c>
      <c r="D4" s="3">
        <f>SUMIF('Backlog phân công'!$E$4:$E$49,A4,'Backlog phân công'!$I$4:$I$49)</f>
        <v/>
      </c>
      <c r="E4" s="15">
        <f>SUMPRODUCT(('Backlog phân công'!$E$4:$E$49=$A4)*('Backlog phân công'!$G$4:$G$49&lt;=1)*('Backlog phân công'!$H$4:$H$49&gt;=1)*('Backlog phân công'!$I$4:$I$49/('Backlog phân công'!$H$4:$H$49-'Backlog phân công'!$G$4:$G$49+1)))</f>
        <v/>
      </c>
      <c r="F4" s="15">
        <f>SUMPRODUCT(('Backlog phân công'!$E$4:$E$49=$A4)*('Backlog phân công'!$G$4:$G$49&lt;=2)*('Backlog phân công'!$H$4:$H$49&gt;=2)*('Backlog phân công'!$I$4:$I$49/('Backlog phân công'!$H$4:$H$49-'Backlog phân công'!$G$4:$G$49+1)))</f>
        <v/>
      </c>
      <c r="G4" s="15">
        <f>SUMPRODUCT(('Backlog phân công'!$E$4:$E$49=$A4)*('Backlog phân công'!$G$4:$G$49&lt;=3)*('Backlog phân công'!$H$4:$H$49&gt;=3)*('Backlog phân công'!$I$4:$I$49/('Backlog phân công'!$H$4:$H$49-'Backlog phân công'!$G$4:$G$49+1)))</f>
        <v/>
      </c>
      <c r="H4" s="15">
        <f>SUMPRODUCT(('Backlog phân công'!$E$4:$E$49=$A4)*('Backlog phân công'!$G$4:$G$49&lt;=4)*('Backlog phân công'!$H$4:$H$49&gt;=4)*('Backlog phân công'!$I$4:$I$49/('Backlog phân công'!$H$4:$H$49-'Backlog phân công'!$G$4:$G$49+1)))</f>
        <v/>
      </c>
      <c r="I4" s="15">
        <f>SUMPRODUCT(('Backlog phân công'!$E$4:$E$49=$A4)*('Backlog phân công'!$G$4:$G$49&lt;=5)*('Backlog phân công'!$H$4:$H$49&gt;=5)*('Backlog phân công'!$I$4:$I$49/('Backlog phân công'!$H$4:$H$49-'Backlog phân công'!$G$4:$G$49+1)))</f>
        <v/>
      </c>
      <c r="J4" s="15">
        <f>SUMPRODUCT(('Backlog phân công'!$E$4:$E$49=$A4)*('Backlog phân công'!$G$4:$G$49&lt;=6)*('Backlog phân công'!$H$4:$H$49&gt;=6)*('Backlog phân công'!$I$4:$I$49/('Backlog phân công'!$H$4:$H$49-'Backlog phân công'!$G$4:$G$49+1)))</f>
        <v/>
      </c>
      <c r="K4" s="15">
        <f>SUMPRODUCT(('Backlog phân công'!$E$4:$E$49=$A4)*('Backlog phân công'!$G$4:$G$49&lt;=7)*('Backlog phân công'!$H$4:$H$49&gt;=7)*('Backlog phân công'!$I$4:$I$49/('Backlog phân công'!$H$4:$H$49-'Backlog phân công'!$G$4:$G$49+1)))</f>
        <v/>
      </c>
      <c r="L4" s="15">
        <f>SUMPRODUCT(('Backlog phân công'!$E$4:$E$49=$A4)*('Backlog phân công'!$G$4:$G$49&lt;=8)*('Backlog phân công'!$H$4:$H$49&gt;=8)*('Backlog phân công'!$I$4:$I$49/('Backlog phân công'!$H$4:$H$49-'Backlog phân công'!$G$4:$G$49+1)))</f>
        <v/>
      </c>
    </row>
    <row r="5">
      <c r="A5" s="3" t="inlineStr">
        <is>
          <t>Người B</t>
        </is>
      </c>
      <c r="B5" s="3" t="inlineStr">
        <is>
          <t>Backend Lead</t>
        </is>
      </c>
      <c r="C5" s="3">
        <f>COUNTIF('Backlog phân công'!$E$4:$E$49,A5)</f>
        <v/>
      </c>
      <c r="D5" s="3">
        <f>SUMIF('Backlog phân công'!$E$4:$E$49,A5,'Backlog phân công'!$I$4:$I$49)</f>
        <v/>
      </c>
      <c r="E5" s="15">
        <f>SUMPRODUCT(('Backlog phân công'!$E$4:$E$49=$A5)*('Backlog phân công'!$G$4:$G$49&lt;=1)*('Backlog phân công'!$H$4:$H$49&gt;=1)*('Backlog phân công'!$I$4:$I$49/('Backlog phân công'!$H$4:$H$49-'Backlog phân công'!$G$4:$G$49+1)))</f>
        <v/>
      </c>
      <c r="F5" s="15">
        <f>SUMPRODUCT(('Backlog phân công'!$E$4:$E$49=$A5)*('Backlog phân công'!$G$4:$G$49&lt;=2)*('Backlog phân công'!$H$4:$H$49&gt;=2)*('Backlog phân công'!$I$4:$I$49/('Backlog phân công'!$H$4:$H$49-'Backlog phân công'!$G$4:$G$49+1)))</f>
        <v/>
      </c>
      <c r="G5" s="15">
        <f>SUMPRODUCT(('Backlog phân công'!$E$4:$E$49=$A5)*('Backlog phân công'!$G$4:$G$49&lt;=3)*('Backlog phân công'!$H$4:$H$49&gt;=3)*('Backlog phân công'!$I$4:$I$49/('Backlog phân công'!$H$4:$H$49-'Backlog phân công'!$G$4:$G$49+1)))</f>
        <v/>
      </c>
      <c r="H5" s="15">
        <f>SUMPRODUCT(('Backlog phân công'!$E$4:$E$49=$A5)*('Backlog phân công'!$G$4:$G$49&lt;=4)*('Backlog phân công'!$H$4:$H$49&gt;=4)*('Backlog phân công'!$I$4:$I$49/('Backlog phân công'!$H$4:$H$49-'Backlog phân công'!$G$4:$G$49+1)))</f>
        <v/>
      </c>
      <c r="I5" s="15">
        <f>SUMPRODUCT(('Backlog phân công'!$E$4:$E$49=$A5)*('Backlog phân công'!$G$4:$G$49&lt;=5)*('Backlog phân công'!$H$4:$H$49&gt;=5)*('Backlog phân công'!$I$4:$I$49/('Backlog phân công'!$H$4:$H$49-'Backlog phân công'!$G$4:$G$49+1)))</f>
        <v/>
      </c>
      <c r="J5" s="15">
        <f>SUMPRODUCT(('Backlog phân công'!$E$4:$E$49=$A5)*('Backlog phân công'!$G$4:$G$49&lt;=6)*('Backlog phân công'!$H$4:$H$49&gt;=6)*('Backlog phân công'!$I$4:$I$49/('Backlog phân công'!$H$4:$H$49-'Backlog phân công'!$G$4:$G$49+1)))</f>
        <v/>
      </c>
      <c r="K5" s="15">
        <f>SUMPRODUCT(('Backlog phân công'!$E$4:$E$49=$A5)*('Backlog phân công'!$G$4:$G$49&lt;=7)*('Backlog phân công'!$H$4:$H$49&gt;=7)*('Backlog phân công'!$I$4:$I$49/('Backlog phân công'!$H$4:$H$49-'Backlog phân công'!$G$4:$G$49+1)))</f>
        <v/>
      </c>
      <c r="L5" s="15">
        <f>SUMPRODUCT(('Backlog phân công'!$E$4:$E$49=$A5)*('Backlog phân công'!$G$4:$G$49&lt;=8)*('Backlog phân công'!$H$4:$H$49&gt;=8)*('Backlog phân công'!$I$4:$I$49/('Backlog phân công'!$H$4:$H$49-'Backlog phân công'!$G$4:$G$49+1)))</f>
        <v/>
      </c>
    </row>
    <row r="6">
      <c r="A6" s="3" t="inlineStr">
        <is>
          <t>Người C</t>
        </is>
      </c>
      <c r="B6" s="3" t="inlineStr">
        <is>
          <t>AI/RAG Lead</t>
        </is>
      </c>
      <c r="C6" s="3">
        <f>COUNTIF('Backlog phân công'!$E$4:$E$49,A6)</f>
        <v/>
      </c>
      <c r="D6" s="3">
        <f>SUMIF('Backlog phân công'!$E$4:$E$49,A6,'Backlog phân công'!$I$4:$I$49)</f>
        <v/>
      </c>
      <c r="E6" s="15">
        <f>SUMPRODUCT(('Backlog phân công'!$E$4:$E$49=$A6)*('Backlog phân công'!$G$4:$G$49&lt;=1)*('Backlog phân công'!$H$4:$H$49&gt;=1)*('Backlog phân công'!$I$4:$I$49/('Backlog phân công'!$H$4:$H$49-'Backlog phân công'!$G$4:$G$49+1)))</f>
        <v/>
      </c>
      <c r="F6" s="15">
        <f>SUMPRODUCT(('Backlog phân công'!$E$4:$E$49=$A6)*('Backlog phân công'!$G$4:$G$49&lt;=2)*('Backlog phân công'!$H$4:$H$49&gt;=2)*('Backlog phân công'!$I$4:$I$49/('Backlog phân công'!$H$4:$H$49-'Backlog phân công'!$G$4:$G$49+1)))</f>
        <v/>
      </c>
      <c r="G6" s="15">
        <f>SUMPRODUCT(('Backlog phân công'!$E$4:$E$49=$A6)*('Backlog phân công'!$G$4:$G$49&lt;=3)*('Backlog phân công'!$H$4:$H$49&gt;=3)*('Backlog phân công'!$I$4:$I$49/('Backlog phân công'!$H$4:$H$49-'Backlog phân công'!$G$4:$G$49+1)))</f>
        <v/>
      </c>
      <c r="H6" s="15">
        <f>SUMPRODUCT(('Backlog phân công'!$E$4:$E$49=$A6)*('Backlog phân công'!$G$4:$G$49&lt;=4)*('Backlog phân công'!$H$4:$H$49&gt;=4)*('Backlog phân công'!$I$4:$I$49/('Backlog phân công'!$H$4:$H$49-'Backlog phân công'!$G$4:$G$49+1)))</f>
        <v/>
      </c>
      <c r="I6" s="15">
        <f>SUMPRODUCT(('Backlog phân công'!$E$4:$E$49=$A6)*('Backlog phân công'!$G$4:$G$49&lt;=5)*('Backlog phân công'!$H$4:$H$49&gt;=5)*('Backlog phân công'!$I$4:$I$49/('Backlog phân công'!$H$4:$H$49-'Backlog phân công'!$G$4:$G$49+1)))</f>
        <v/>
      </c>
      <c r="J6" s="15">
        <f>SUMPRODUCT(('Backlog phân công'!$E$4:$E$49=$A6)*('Backlog phân công'!$G$4:$G$49&lt;=6)*('Backlog phân công'!$H$4:$H$49&gt;=6)*('Backlog phân công'!$I$4:$I$49/('Backlog phân công'!$H$4:$H$49-'Backlog phân công'!$G$4:$G$49+1)))</f>
        <v/>
      </c>
      <c r="K6" s="15">
        <f>SUMPRODUCT(('Backlog phân công'!$E$4:$E$49=$A6)*('Backlog phân công'!$G$4:$G$49&lt;=7)*('Backlog phân công'!$H$4:$H$49&gt;=7)*('Backlog phân công'!$I$4:$I$49/('Backlog phân công'!$H$4:$H$49-'Backlog phân công'!$G$4:$G$49+1)))</f>
        <v/>
      </c>
      <c r="L6" s="15">
        <f>SUMPRODUCT(('Backlog phân công'!$E$4:$E$49=$A6)*('Backlog phân công'!$G$4:$G$49&lt;=8)*('Backlog phân công'!$H$4:$H$49&gt;=8)*('Backlog phân công'!$I$4:$I$49/('Backlog phân công'!$H$4:$H$49-'Backlog phân công'!$G$4:$G$49+1)))</f>
        <v/>
      </c>
    </row>
    <row r="7">
      <c r="A7" s="3" t="inlineStr">
        <is>
          <t>Người D</t>
        </is>
      </c>
      <c r="B7" s="3" t="inlineStr">
        <is>
          <t>UI/UX &amp; QA Lead</t>
        </is>
      </c>
      <c r="C7" s="3">
        <f>COUNTIF('Backlog phân công'!$E$4:$E$49,A7)</f>
        <v/>
      </c>
      <c r="D7" s="3">
        <f>SUMIF('Backlog phân công'!$E$4:$E$49,A7,'Backlog phân công'!$I$4:$I$49)</f>
        <v/>
      </c>
      <c r="E7" s="15">
        <f>SUMPRODUCT(('Backlog phân công'!$E$4:$E$49=$A7)*('Backlog phân công'!$G$4:$G$49&lt;=1)*('Backlog phân công'!$H$4:$H$49&gt;=1)*('Backlog phân công'!$I$4:$I$49/('Backlog phân công'!$H$4:$H$49-'Backlog phân công'!$G$4:$G$49+1)))</f>
        <v/>
      </c>
      <c r="F7" s="15">
        <f>SUMPRODUCT(('Backlog phân công'!$E$4:$E$49=$A7)*('Backlog phân công'!$G$4:$G$49&lt;=2)*('Backlog phân công'!$H$4:$H$49&gt;=2)*('Backlog phân công'!$I$4:$I$49/('Backlog phân công'!$H$4:$H$49-'Backlog phân công'!$G$4:$G$49+1)))</f>
        <v/>
      </c>
      <c r="G7" s="15">
        <f>SUMPRODUCT(('Backlog phân công'!$E$4:$E$49=$A7)*('Backlog phân công'!$G$4:$G$49&lt;=3)*('Backlog phân công'!$H$4:$H$49&gt;=3)*('Backlog phân công'!$I$4:$I$49/('Backlog phân công'!$H$4:$H$49-'Backlog phân công'!$G$4:$G$49+1)))</f>
        <v/>
      </c>
      <c r="H7" s="15">
        <f>SUMPRODUCT(('Backlog phân công'!$E$4:$E$49=$A7)*('Backlog phân công'!$G$4:$G$49&lt;=4)*('Backlog phân công'!$H$4:$H$49&gt;=4)*('Backlog phân công'!$I$4:$I$49/('Backlog phân công'!$H$4:$H$49-'Backlog phân công'!$G$4:$G$49+1)))</f>
        <v/>
      </c>
      <c r="I7" s="15">
        <f>SUMPRODUCT(('Backlog phân công'!$E$4:$E$49=$A7)*('Backlog phân công'!$G$4:$G$49&lt;=5)*('Backlog phân công'!$H$4:$H$49&gt;=5)*('Backlog phân công'!$I$4:$I$49/('Backlog phân công'!$H$4:$H$49-'Backlog phân công'!$G$4:$G$49+1)))</f>
        <v/>
      </c>
      <c r="J7" s="15">
        <f>SUMPRODUCT(('Backlog phân công'!$E$4:$E$49=$A7)*('Backlog phân công'!$G$4:$G$49&lt;=6)*('Backlog phân công'!$H$4:$H$49&gt;=6)*('Backlog phân công'!$I$4:$I$49/('Backlog phân công'!$H$4:$H$49-'Backlog phân công'!$G$4:$G$49+1)))</f>
        <v/>
      </c>
      <c r="K7" s="15">
        <f>SUMPRODUCT(('Backlog phân công'!$E$4:$E$49=$A7)*('Backlog phân công'!$G$4:$G$49&lt;=7)*('Backlog phân công'!$H$4:$H$49&gt;=7)*('Backlog phân công'!$I$4:$I$49/('Backlog phân công'!$H$4:$H$49-'Backlog phân công'!$G$4:$G$49+1)))</f>
        <v/>
      </c>
      <c r="L7" s="15">
        <f>SUMPRODUCT(('Backlog phân công'!$E$4:$E$49=$A7)*('Backlog phân công'!$G$4:$G$49&lt;=8)*('Backlog phân công'!$H$4:$H$49&gt;=8)*('Backlog phân công'!$I$4:$I$49/('Backlog phân công'!$H$4:$H$49-'Backlog phân công'!$G$4:$G$49+1)))</f>
        <v/>
      </c>
    </row>
    <row r="8"/>
    <row r="9"/>
    <row r="10">
      <c r="A10" s="16" t="inlineStr">
        <is>
          <t>Cách đọc</t>
        </is>
      </c>
      <c r="B10" s="17" t="inlineStr">
        <is>
          <t>T1–T8 phân bổ giờ ước tính đều theo số tuần của task. Dùng để nhận biết chênh lệch tải; không phải timesheet thực tế.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5" t="n"/>
    </row>
  </sheetData>
  <mergeCells count="2">
    <mergeCell ref="B10:L10"/>
    <mergeCell ref="A1:L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4" customWidth="1" min="4" max="4"/>
    <col width="65" customWidth="1" min="5" max="5"/>
    <col width="23" customWidth="1" min="6" max="6"/>
  </cols>
  <sheetData>
    <row r="1" ht="30" customHeight="1">
      <c r="A1" s="1" t="inlineStr">
        <is>
          <t>RỦI RO, KHOẢNG TRỐNG &amp; HƯỚNG XỬ LÝ — BẢN ẨN DANH</t>
        </is>
      </c>
    </row>
    <row r="2"/>
    <row r="3">
      <c r="A3" s="7" t="inlineStr">
        <is>
          <t>ID</t>
        </is>
      </c>
      <c r="B3" s="7" t="inlineStr">
        <is>
          <t>Rủi ro / khoảng trống</t>
        </is>
      </c>
      <c r="C3" s="7" t="inlineStr">
        <is>
          <t>Ảnh hưởng</t>
        </is>
      </c>
      <c r="D3" s="7" t="inlineStr">
        <is>
          <t>Khả năng</t>
        </is>
      </c>
      <c r="E3" s="7" t="inlineStr">
        <is>
          <t>Giảm thiểu / quyết định</t>
        </is>
      </c>
      <c r="F3" s="7" t="inlineStr">
        <is>
          <t>Owner</t>
        </is>
      </c>
    </row>
    <row r="4">
      <c r="A4" s="3" t="inlineStr">
        <is>
          <t>R-01</t>
        </is>
      </c>
      <c r="B4" s="3" t="inlineStr">
        <is>
          <t>Tóm tắt nội dung có trong Word nhưng chưa có kịch bản chi tiết</t>
        </is>
      </c>
      <c r="C4" s="18" t="inlineStr">
        <is>
          <t>Cao</t>
        </is>
      </c>
      <c r="D4" s="19" t="inlineStr">
        <is>
          <t>Cao</t>
        </is>
      </c>
      <c r="E4" s="3" t="inlineStr">
        <is>
          <t>Đặc tả ở G01; chỉ đưa vào MVP sau khi chốt acceptance/quota</t>
        </is>
      </c>
      <c r="F4" s="3" t="inlineStr">
        <is>
          <t>Người D</t>
        </is>
      </c>
    </row>
    <row r="5">
      <c r="A5" s="3" t="inlineStr">
        <is>
          <t>R-02</t>
        </is>
      </c>
      <c r="B5" s="3" t="inlineStr">
        <is>
          <t>Tên endpoint ghi chú không thống nhất giữa các bước</t>
        </is>
      </c>
      <c r="C5" s="18" t="inlineStr">
        <is>
          <t>Cao</t>
        </is>
      </c>
      <c r="D5" s="3" t="inlineStr">
        <is>
          <t>Trung bình</t>
        </is>
      </c>
      <c r="E5" s="3" t="inlineStr">
        <is>
          <t>Chuẩn hoá OpenAPI ở P02 trước khi code client/server</t>
        </is>
      </c>
      <c r="F5" s="3" t="inlineStr">
        <is>
          <t>Người B</t>
        </is>
      </c>
    </row>
    <row r="6">
      <c r="A6" s="3" t="inlineStr">
        <is>
          <t>R-03</t>
        </is>
      </c>
      <c r="B6" s="3" t="inlineStr">
        <is>
          <t>Header chỉ ghi 'định danh user', chưa định nghĩa cơ chế auth</t>
        </is>
      </c>
      <c r="C6" s="18" t="inlineStr">
        <is>
          <t>Cao</t>
        </is>
      </c>
      <c r="D6" s="19" t="inlineStr">
        <is>
          <t>Cao</t>
        </is>
      </c>
      <c r="E6" s="3" t="inlineStr">
        <is>
          <t>Dùng token/session chuẩn, ownership check mọi truy vấn</t>
        </is>
      </c>
      <c r="F6" s="3" t="inlineStr">
        <is>
          <t>Người B</t>
        </is>
      </c>
    </row>
    <row r="7">
      <c r="A7" s="3" t="inlineStr">
        <is>
          <t>R-04</t>
        </is>
      </c>
      <c r="B7" s="3" t="inlineStr">
        <is>
          <t>Quota và silent skip AI có thể gây trạng thái note khó hiểu</t>
        </is>
      </c>
      <c r="C7" s="3" t="inlineStr">
        <is>
          <t>Trung bình</t>
        </is>
      </c>
      <c r="D7" s="19" t="inlineStr">
        <is>
          <t>Cao</t>
        </is>
      </c>
      <c r="E7" s="3" t="inlineStr">
        <is>
          <t>Tách trạng thái saved/processed; log lý do và hiển thị phù hợp</t>
        </is>
      </c>
      <c r="F7" s="3" t="inlineStr">
        <is>
          <t>Người A</t>
        </is>
      </c>
    </row>
    <row r="8">
      <c r="A8" s="3" t="inlineStr">
        <is>
          <t>R-05</t>
        </is>
      </c>
      <c r="B8" s="3" t="inlineStr">
        <is>
          <t>Dữ liệu web cá nhân được gửi đến AI provider</t>
        </is>
      </c>
      <c r="C8" s="18" t="inlineStr">
        <is>
          <t>Cao</t>
        </is>
      </c>
      <c r="D8" s="3" t="inlineStr">
        <is>
          <t>Trung bình</t>
        </is>
      </c>
      <c r="E8" s="3" t="inlineStr">
        <is>
          <t>Consent, tối thiểu hoá dữ liệu, retention policy và tùy chọn local</t>
        </is>
      </c>
      <c r="F8" s="3" t="inlineStr">
        <is>
          <t>Người A</t>
        </is>
      </c>
    </row>
    <row r="9">
      <c r="A9" s="3" t="inlineStr">
        <is>
          <t>R-06</t>
        </is>
      </c>
      <c r="B9" s="3" t="inlineStr">
        <is>
          <t>Hybrid search/rerank có độ trễ cao</t>
        </is>
      </c>
      <c r="C9" s="3" t="inlineStr">
        <is>
          <t>Trung bình</t>
        </is>
      </c>
      <c r="D9" s="19" t="inlineStr">
        <is>
          <t>Cao</t>
        </is>
      </c>
      <c r="E9" s="3" t="inlineStr">
        <is>
          <t>Benchmark sớm, timeout, cache và fallback không rerank</t>
        </is>
      </c>
      <c r="F9" s="3" t="inlineStr">
        <is>
          <t>Người C</t>
        </is>
      </c>
    </row>
    <row r="10">
      <c r="A10" s="3" t="inlineStr">
        <is>
          <t>R-07</t>
        </is>
      </c>
      <c r="B10" s="3" t="inlineStr">
        <is>
          <t>IndexedDB và server có thể xung đột dữ liệu</t>
        </is>
      </c>
      <c r="C10" s="3" t="inlineStr">
        <is>
          <t>Trung bình</t>
        </is>
      </c>
      <c r="D10" s="19" t="inlineStr">
        <is>
          <t>Cao</t>
        </is>
      </c>
      <c r="E10" s="3" t="inlineStr">
        <is>
          <t>Chốt version/updatedAt và quy tắc conflict trong C02</t>
        </is>
      </c>
      <c r="F10" s="3" t="inlineStr">
        <is>
          <t>Người A</t>
        </is>
      </c>
    </row>
    <row r="11">
      <c r="A11" s="3" t="inlineStr">
        <is>
          <t>R-08</t>
        </is>
      </c>
      <c r="B11" s="3" t="inlineStr">
        <is>
          <t>Readability không ổn định trên SPA/trang đặc biệt</t>
        </is>
      </c>
      <c r="C11" s="3" t="inlineStr">
        <is>
          <t>Trung bình</t>
        </is>
      </c>
      <c r="D11" s="3" t="inlineStr">
        <is>
          <t>Trung bình</t>
        </is>
      </c>
      <c r="E11" s="3" t="inlineStr">
        <is>
          <t>Bộ trang thử chuẩn, fallback selection/body text và thông báo giới hạn</t>
        </is>
      </c>
      <c r="F11" s="3" t="inlineStr">
        <is>
          <t>Người A</t>
        </is>
      </c>
    </row>
    <row r="12">
      <c r="A12" s="3" t="inlineStr">
        <is>
          <t>R-09</t>
        </is>
      </c>
      <c r="B12" s="3" t="inlineStr">
        <is>
          <t>Self-host LLM vượt tài nguyên máy demo</t>
        </is>
      </c>
      <c r="C12" s="18" t="inlineStr">
        <is>
          <t>Cao</t>
        </is>
      </c>
      <c r="D12" s="3" t="inlineStr">
        <is>
          <t>Trung bình</t>
        </is>
      </c>
      <c r="E12" s="3" t="inlineStr">
        <is>
          <t>Provider adapter, model nhẹ, mock/demo fallback</t>
        </is>
      </c>
      <c r="F12" s="3" t="inlineStr">
        <is>
          <t>Người C</t>
        </is>
      </c>
    </row>
    <row r="13">
      <c r="A13" s="3" t="inlineStr">
        <is>
          <t>R-10</t>
        </is>
      </c>
      <c r="B13" s="3" t="inlineStr">
        <is>
          <t>Phạm vi rộng so với nhóm 4 người</t>
        </is>
      </c>
      <c r="C13" s="18" t="inlineStr">
        <is>
          <t>Cao</t>
        </is>
      </c>
      <c r="D13" s="19" t="inlineStr">
        <is>
          <t>Cao</t>
        </is>
      </c>
      <c r="E13" s="3" t="inlineStr">
        <is>
          <t>Khoá P0; Skim là P1; lịch trình cá nhân là P2</t>
        </is>
      </c>
      <c r="F13" s="3" t="inlineStr">
        <is>
          <t>Người A</t>
        </is>
      </c>
    </row>
  </sheetData>
  <autoFilter ref="A3:F13"/>
  <mergeCells count="1">
    <mergeCell ref="A1:F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6" customWidth="1" min="3" max="3"/>
    <col width="42" customWidth="1" min="4" max="4"/>
    <col width="22" customWidth="1" min="5" max="5"/>
    <col width="34" customWidth="1" min="6" max="6"/>
  </cols>
  <sheetData>
    <row r="1" ht="30" customHeight="1">
      <c r="A1" s="1" t="inlineStr">
        <is>
          <t>MỤC TIÊU, MỐC BÀN GIAO &amp; NHỊP LÀM VIỆC — BẢN ẨN DANH</t>
        </is>
      </c>
    </row>
    <row r="2"/>
    <row r="3">
      <c r="A3" s="7" t="inlineStr">
        <is>
          <t>Tuần</t>
        </is>
      </c>
      <c r="B3" s="7" t="inlineStr">
        <is>
          <t>Mục tiêu</t>
        </is>
      </c>
      <c r="C3" s="7" t="inlineStr">
        <is>
          <t>Mốc bàn giao</t>
        </is>
      </c>
      <c r="D3" s="7" t="inlineStr">
        <is>
          <t>Điều kiện qua cổng</t>
        </is>
      </c>
      <c r="E3" s="7" t="inlineStr">
        <is>
          <t>Review chính</t>
        </is>
      </c>
      <c r="F3" s="7" t="inlineStr">
        <is>
          <t>Ghi chú</t>
        </is>
      </c>
    </row>
    <row r="4">
      <c r="A4" s="3" t="n">
        <v>1</v>
      </c>
      <c r="B4" s="3" t="inlineStr">
        <is>
          <t>Chốt kiến trúc, API, AI và UX</t>
        </is>
      </c>
      <c r="C4" s="3" t="inlineStr">
        <is>
          <t>ADR, OpenAPI draft, wireframe, repo skeleton</t>
        </is>
      </c>
      <c r="D4" s="3" t="inlineStr">
        <is>
          <t>Nhóm thống nhất scope P0/P1/P2</t>
        </is>
      </c>
      <c r="E4" s="3" t="inlineStr">
        <is>
          <t>Người A + cả nhóm</t>
        </is>
      </c>
      <c r="F4" s="3" t="inlineStr">
        <is>
          <t>Không code lệch contract trước P02</t>
        </is>
      </c>
    </row>
    <row r="5">
      <c r="A5" s="3" t="n">
        <v>2</v>
      </c>
      <c r="B5" s="3" t="inlineStr">
        <is>
          <t>Hoàn thiện nền tảng</t>
        </is>
      </c>
      <c r="C5" s="3" t="inlineStr">
        <is>
          <t>Schema, test plan, UI shell, đặc tả summary</t>
        </is>
      </c>
      <c r="D5" s="3" t="inlineStr">
        <is>
          <t>Skeleton chạy và migration pass</t>
        </is>
      </c>
      <c r="E5" s="3" t="inlineStr">
        <is>
          <t>Người B/Người D</t>
        </is>
      </c>
      <c r="F5" s="3" t="inlineStr">
        <is>
          <t>Chốt G01/G02</t>
        </is>
      </c>
    </row>
    <row r="6">
      <c r="A6" s="3" t="n">
        <v>3</v>
      </c>
      <c r="B6" s="3" t="inlineStr">
        <is>
          <t>Auth/quota và ghi chú đầu-cuối</t>
        </is>
      </c>
      <c r="C6" s="3" t="inlineStr">
        <is>
          <t>Auth + selection + popup + API note</t>
        </is>
      </c>
      <c r="D6" s="3" t="inlineStr">
        <is>
          <t>Lưu được note không AI</t>
        </is>
      </c>
      <c r="E6" s="3" t="inlineStr">
        <is>
          <t>Người A/Người B</t>
        </is>
      </c>
      <c r="F6" s="3" t="inlineStr">
        <is>
          <t>Ưu tiên vertical slice</t>
        </is>
      </c>
    </row>
    <row r="7">
      <c r="A7" s="3" t="n">
        <v>4</v>
      </c>
      <c r="B7" s="3" t="inlineStr">
        <is>
          <t>MVP ghi chú + vector</t>
        </is>
      </c>
      <c r="C7" s="3" t="inlineStr">
        <is>
          <t>Chunk/embed/vector + queue + E2E</t>
        </is>
      </c>
      <c r="D7" s="3" t="inlineStr">
        <is>
          <t>Luồng N01–N07 pass</t>
        </is>
      </c>
      <c r="E7" s="3" t="inlineStr">
        <is>
          <t>Người C/Người D</t>
        </is>
      </c>
      <c r="F7" s="3" t="inlineStr">
        <is>
          <t>Mốc MVP-1</t>
        </is>
      </c>
    </row>
    <row r="8">
      <c r="A8" s="3" t="n">
        <v>5</v>
      </c>
      <c r="B8" s="3" t="inlineStr">
        <is>
          <t>Thư viện note + retrieval</t>
        </is>
      </c>
      <c r="C8" s="3" t="inlineStr">
        <is>
          <t>CRUD/cache/UI + hybrid/rerank</t>
        </is>
      </c>
      <c r="D8" s="3" t="inlineStr">
        <is>
          <t>Offline cơ bản và search backend pass</t>
        </is>
      </c>
      <c r="E8" s="3" t="inlineStr">
        <is>
          <t>Cả nhóm</t>
        </is>
      </c>
      <c r="F8" s="3" t="inlineStr">
        <is>
          <t>Không mở P1 nếu P0 đỏ</t>
        </is>
      </c>
    </row>
    <row r="9">
      <c r="A9" s="3" t="n">
        <v>6</v>
      </c>
      <c r="B9" s="3" t="inlineStr">
        <is>
          <t>RAG hoàn chỉnh, bắt đầu skim</t>
        </is>
      </c>
      <c r="C9" s="3" t="inlineStr">
        <is>
          <t>Search UI/API + Readability + skim skeleton</t>
        </is>
      </c>
      <c r="D9" s="3" t="inlineStr">
        <is>
          <t>RAG P0 nghiệm thu</t>
        </is>
      </c>
      <c r="E9" s="3" t="inlineStr">
        <is>
          <t>Người C/Người A</t>
        </is>
      </c>
      <c r="F9" s="3" t="inlineStr">
        <is>
          <t>Mốc MVP-2</t>
        </is>
      </c>
    </row>
    <row r="10">
      <c r="A10" s="3" t="n">
        <v>7</v>
      </c>
      <c r="B10" s="3" t="inlineStr">
        <is>
          <t>Skim và hardening</t>
        </is>
      </c>
      <c r="C10" s="3" t="inlineStr">
        <is>
          <t>Skim E2E + security + deploy/eval draft</t>
        </is>
      </c>
      <c r="D10" s="3" t="inlineStr">
        <is>
          <t>P1 pass hoặc cắt khỏi demo</t>
        </is>
      </c>
      <c r="E10" s="3" t="inlineStr">
        <is>
          <t>Người B/Người D</t>
        </is>
      </c>
      <c r="F10" s="3" t="inlineStr">
        <is>
          <t>Khoá tính năng cuối tuần</t>
        </is>
      </c>
    </row>
    <row r="11">
      <c r="A11" s="3" t="n">
        <v>8</v>
      </c>
      <c r="B11" s="3" t="inlineStr">
        <is>
          <t>Release và thuyết trình</t>
        </is>
      </c>
      <c r="C11" s="3" t="inlineStr">
        <is>
          <t>Regression, release candidate, report, demo</t>
        </is>
      </c>
      <c r="D11" s="3" t="inlineStr">
        <is>
          <t>0 lỗi P0/P1; demo rehearsal pass</t>
        </is>
      </c>
      <c r="E11" s="3" t="inlineStr">
        <is>
          <t>Cả nhóm</t>
        </is>
      </c>
      <c r="F11" s="3" t="inlineStr">
        <is>
          <t>Không thêm tính năng mới</t>
        </is>
      </c>
    </row>
    <row r="12"/>
    <row r="13"/>
    <row r="14">
      <c r="A14" s="20" t="inlineStr">
        <is>
          <t>Nhịp cố định</t>
        </is>
      </c>
      <c r="B14" s="3" t="inlineStr">
        <is>
          <t>Đầu tuần: chốt mục tiêu &amp; dependency (30’). Giữa tuần: sync blocker (15’). Cuối tuần: demo + review + cập nhật backlog (45’). Pull request cần 1 reviewer; thay đổi contract cần owner Backend + client liên quan duyệt.</t>
        </is>
      </c>
      <c r="C14" s="4" t="n"/>
      <c r="D14" s="4" t="n"/>
      <c r="E14" s="4" t="n"/>
      <c r="F14" s="5" t="n"/>
    </row>
  </sheetData>
  <mergeCells count="2">
    <mergeCell ref="A1:F1"/>
    <mergeCell ref="B14:F14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Nhóm 1</dc:creator>
  <dc:title xmlns:dc="http://purl.org/dc/elements/1.1/">QuickAssist — Kế hoạch phân công ẩn danh</dc:title>
  <dc:subject xmlns:dc="http://purl.org/dc/elements/1.1/">Kế hoạch giữ nguyên phân công, thay tên thành Người A–D</dc:subject>
  <dcterms:created xmlns:dcterms="http://purl.org/dc/terms/" xmlns:xsi="http://www.w3.org/2001/XMLSchema-instance" xsi:type="dcterms:W3CDTF">2026-09-03T01:44:43Z</dcterms:created>
  <dcterms:modified xmlns:dcterms="http://purl.org/dc/terms/" xmlns:xsi="http://www.w3.org/2001/XMLSchema-instance" xsi:type="dcterms:W3CDTF">2026-09-03T01:56:11Z</dcterms:modified>
</cp:coreProperties>
</file>