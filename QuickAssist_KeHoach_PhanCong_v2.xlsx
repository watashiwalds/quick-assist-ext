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hay đổi v2" sheetId="2" state="visible" r:id="rId4"/>
    <sheet name="Ma trận chức năng" sheetId="3" state="visible" r:id="rId5"/>
    <sheet name="Backlog phân công" sheetId="4" state="visible" r:id="rId6"/>
    <sheet name="Timeline 8 tuần" sheetId="5" state="visible" r:id="rId7"/>
    <sheet name="Tải công việc" sheetId="6" state="visible" r:id="rId8"/>
    <sheet name="Rủi ro &amp; quyết định" sheetId="7" state="visible" r:id="rId9"/>
    <sheet name="Kế hoạch tuần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<sst xmlns="http://schemas.openxmlformats.org/spreadsheetml/2006/main" count="998" uniqueCount="583">
  <si>
    <t xml:space="preserve">QUICKASSIST — PHÂN TÍCH &amp; KẾ HOẠCH NHÓM 4 NGƯỜI (v2 — khớp SDS_Nhomx &amp; kiến trúc phân tầng)</t>
  </si>
  <si>
    <t xml:space="preserve">Mục tiêu</t>
  </si>
  <si>
    <t xml:space="preserve">Extension ghi chú nhanh, tóm tắt AI và tìm kiếm ngữ nghĩa; kiến trúc phân tầng theo SDS (API + worker) — phân công THEO SERVICE/THƯ MỤC.</t>
  </si>
  <si>
    <t xml:space="preserve">Mốc kế hoạch</t>
  </si>
  <si>
    <t xml:space="preserve">8 tuần — P0 = toàn bộ Must-have của SDS; P1 (Nice-to-have) chỉ làm sau cổng tuần 6 khi P0 đạt DoD.</t>
  </si>
  <si>
    <t xml:space="preserve">MVP đề xuất</t>
  </si>
  <si>
    <t xml:space="preserve">Google OAuth + ghi chú nhanh/hoàn tác + thư mục/Inbox + CRUD/cache + tóm tắt AI + tìm kiếm ngữ nghĩa + quota + xoá tài khoản + log.</t>
  </si>
  <si>
    <t xml:space="preserve">Ngoài MVP</t>
  </si>
  <si>
    <t xml:space="preserve">P1: chat RAG streaming, rerank, gắn thẻ, dọn dữ liệu 1 năm. Bỏ khỏi kế hoạch: Skim trang (không có trong SDS), self-host LLM.</t>
  </si>
  <si>
    <t xml:space="preserve">Nguồn phân tích</t>
  </si>
  <si>
    <t xml:space="preserve">SDS_Nhomx.pdf; Kịch bản chức năng QuickAssist_1.xlsx; System Design Trade_Offs.docx; docs/architecture trong repo.</t>
  </si>
  <si>
    <t xml:space="preserve">Nhận định chính</t>
  </si>
  <si>
    <t xml:space="preserve">1.</t>
  </si>
  <si>
    <t xml:space="preserve">Kiến trúc phân tầng đúng SDS Hình 1: presentation → business (auth, notes, quota, semantic_search, summary, rag) → data_access → data, cùng infrastructure (Google OAuth, OpenAI, Logging). Có test kiến trúc tự động trong CI.</t>
  </si>
  <si>
    <t xml:space="preserve">2.</t>
  </si>
  <si>
    <t xml:space="preserve">Phân công theo QUYỀN SỞ HỮU THƯ MỤC (cột P Backlog + .github/CODEOWNERS): mỗi người làm trọn module của mình từ API tới test, giảm bàn giao chéo.</t>
  </si>
  <si>
    <t xml:space="preserve">3.</t>
  </si>
  <si>
    <t xml:space="preserve">Đã bổ sung task SDS bắt buộc mà v1 thiếu: xoá tài khoản (A06), log (A07), tóm tắt là Must-have (SUM-01..04), màn Cài đặt (A08), cập nhật SDS (D01).</t>
  </si>
  <si>
    <t xml:space="preserve">4.</t>
  </si>
  <si>
    <t xml:space="preserve">Đã bỏ Skim trang (S01–S06, ~56 giờ) vì không có trong SDS; dồn thời gian cho tóm tắt và hardening.</t>
  </si>
  <si>
    <t xml:space="preserve">5.</t>
  </si>
  <si>
    <t xml:space="preserve">Quota chuyển sang Vinh (gắn chặt chi phí AI), Search API (R03) chuyển sang Vinh vì module search thuộc Vinh → giảm nghẽn critical path của Quang ở tuần 2–3.</t>
  </si>
  <si>
    <t xml:space="preserve">6.</t>
  </si>
  <si>
    <t xml:space="preserve">Base code đã có sẵn cho nhiều task (cột % hoàn thành) — việc của owner là review, hoàn thiện TODO và viết thêm test, không viết lại từ đầu.</t>
  </si>
  <si>
    <t xml:space="preserve">Thành viên</t>
  </si>
  <si>
    <t xml:space="preserve">Vai trò chính</t>
  </si>
  <si>
    <t xml:space="preserve">Trách nhiệm</t>
  </si>
  <si>
    <t xml:space="preserve">Lê Đăng Sơn</t>
  </si>
  <si>
    <t xml:space="preserve">Tech Lead / Extension core</t>
  </si>
  <si>
    <t xml:space="preserve">Kiến trúc tổng, CI, extension core: apps/extension/src/background, content, shared; UI tìm kiếm &amp; chat</t>
  </si>
  <si>
    <t xml:space="preserve">Trịnh Mạnh Quang</t>
  </si>
  <si>
    <t xml:space="preserve">Backend Lead (presentation, auth, notes, data, infra)</t>
  </si>
  <si>
    <t xml:space="preserve">presentation/, business/{auth,notes}, data/, data_access/, infrastructure/ (trừ openai); migrations; infra &amp; deploy</t>
  </si>
  <si>
    <t xml:space="preserve">Mai Đức Vinh</t>
  </si>
  <si>
    <t xml:space="preserve">AI/RAG Lead (semantic_search, summary, rag, quota, OpenAI)</t>
  </si>
  <si>
    <t xml:space="preserve">business/{semantic_search,summary,rag,quota}, infrastructure/openai, repo note_chunk/quota; đánh giá chất lượng</t>
  </si>
  <si>
    <t xml:space="preserve">Trần Thùy Dương</t>
  </si>
  <si>
    <t xml:space="preserve">UI/UX &amp; QA Lead (ui/, test, tài liệu)</t>
  </si>
  <si>
    <t xml:space="preserve">apps/extension/src/ui (components, notes, summary, account); test plan/E2E; báo cáo &amp; demo</t>
  </si>
  <si>
    <t xml:space="preserve">Definition of Done chung</t>
  </si>
  <si>
    <t xml:space="preserve">✓</t>
  </si>
  <si>
    <t xml:space="preserve">Có acceptance criteria và test tương ứng; code được thành viên phối hợp review.</t>
  </si>
  <si>
    <t xml:space="preserve">Build/lint/unit/integration liên quan đều pass; không còn lỗi P0/P1 mở.</t>
  </si>
  <si>
    <t xml:space="preserve">Không log token/nội dung nhạy cảm; kiểm tra ownership và validation ở server.</t>
  </si>
  <si>
    <t xml:space="preserve">API/schema/tài liệu được cập nhật cùng thay đổi; demo được trên dữ liệu mẫu.</t>
  </si>
  <si>
    <t xml:space="preserve">THAY ĐỔI SO VỚI KẾ HOẠCH v1 — LÝ DO</t>
  </si>
  <si>
    <t xml:space="preserve">Loại</t>
  </si>
  <si>
    <t xml:space="preserve">Task</t>
  </si>
  <si>
    <t xml:space="preserve">Thay đổi</t>
  </si>
  <si>
    <t xml:space="preserve">Lý do</t>
  </si>
  <si>
    <t xml:space="preserve">Thêm</t>
  </si>
  <si>
    <t xml:space="preserve">A06</t>
  </si>
  <si>
    <t xml:space="preserve">Xoá tài khoản + dữ liệu (backend)</t>
  </si>
  <si>
    <t xml:space="preserve">Must-have trong SDS §5.1.5 nhưng v1 không có task</t>
  </si>
  <si>
    <t xml:space="preserve">A07</t>
  </si>
  <si>
    <t xml:space="preserve">Logging có request_id, che dữ liệu nhạy cảm</t>
  </si>
  <si>
    <t xml:space="preserve">FR 'ghi log hoạt động và lỗi' chưa có owner</t>
  </si>
  <si>
    <t xml:space="preserve">A08</t>
  </si>
  <si>
    <t xml:space="preserve">Màn Cài đặt: quota, đăng xuất, xoá tài khoản</t>
  </si>
  <si>
    <t xml:space="preserve">Người dùng cần nơi thao tác xoá tài khoản/xem quota</t>
  </si>
  <si>
    <t xml:space="preserve">SUM-01..04</t>
  </si>
  <si>
    <t xml:space="preserve">Tóm tắt thành P0 (đặc tả, backend, UI, test)</t>
  </si>
  <si>
    <t xml:space="preserve">SDS xếp tóm tắt là Must-have; v1 để P1 (G01)</t>
  </si>
  <si>
    <t xml:space="preserve">P09, D01</t>
  </si>
  <si>
    <t xml:space="preserve">CI/CODEOWNERS; cập nhật SDS theo sds-review</t>
  </si>
  <si>
    <t xml:space="preserve">Thực thi 'phần nào ra phần đấy' bằng công cụ; SDS mâu thuẫn microservice/monolith</t>
  </si>
  <si>
    <t xml:space="preserve">X01–X03, RET-01</t>
  </si>
  <si>
    <t xml:space="preserve">Chat RAG, gắn thẻ, dọn dữ liệu 1 năm (P1)</t>
  </si>
  <si>
    <t xml:space="preserve">Nice-to-have/NFR trong SDS chưa có task</t>
  </si>
  <si>
    <t xml:space="preserve">Bỏ</t>
  </si>
  <si>
    <t xml:space="preserve">S01–S06</t>
  </si>
  <si>
    <t xml:space="preserve">Skim trang (Readability, /skim/*)</t>
  </si>
  <si>
    <t xml:space="preserve">Không có trong SDS; ~56 giờ; R-10 v1 đã cảnh báo phạm vi rộng</t>
  </si>
  <si>
    <t xml:space="preserve">G01</t>
  </si>
  <si>
    <t xml:space="preserve">Thay bằng SUM-01</t>
  </si>
  <si>
    <t xml:space="preserve">Tóm tắt đã được SDS đặc tả</t>
  </si>
  <si>
    <t xml:space="preserve">Đổi owner</t>
  </si>
  <si>
    <t xml:space="preserve">A04 Quota</t>
  </si>
  <si>
    <t xml:space="preserve">Trịnh Mạnh Quang → Mai Đức Vinh</t>
  </si>
  <si>
    <t xml:space="preserve">Quota gắn với chi phí AI; giảm tải critical path tuần 2–3 của Quang</t>
  </si>
  <si>
    <t xml:space="preserve">R03 Search API</t>
  </si>
  <si>
    <t xml:space="preserve">Module search thuộc Vinh — 1 người làm trọn từ SQL tới API</t>
  </si>
  <si>
    <t xml:space="preserve">N02 Toast</t>
  </si>
  <si>
    <t xml:space="preserve">Trần Thùy Dương → Lê Đăng Sơn (Dương duyệt UI)</t>
  </si>
  <si>
    <t xml:space="preserve">Toast là hàm tiêm trong content/ — thư mục của extension core</t>
  </si>
  <si>
    <t xml:space="preserve">Đổi ưu tiên</t>
  </si>
  <si>
    <t xml:space="preserve">R02 Rerank</t>
  </si>
  <si>
    <t xml:space="preserve">P0 → P1</t>
  </si>
  <si>
    <t xml:space="preserve">SDS chỉ yêu cầu top-5 tương đồng; rerank là tối ưu</t>
  </si>
  <si>
    <t xml:space="preserve">Đổi nội dung</t>
  </si>
  <si>
    <t xml:space="preserve">P05–P07, A01–N06…</t>
  </si>
  <si>
    <t xml:space="preserve">Từ 'khởi tạo' → 'review &amp; hoàn thiện base code'</t>
  </si>
  <si>
    <t xml:space="preserve">Base code đã có (cột % hoàn thành)</t>
  </si>
  <si>
    <t xml:space="preserve">H04</t>
  </si>
  <si>
    <t xml:space="preserve">Self-host/Dify → Deploy cloud</t>
  </si>
  <si>
    <t xml:space="preserve">SDS: cloud-first, self-host ngoài phạm vi</t>
  </si>
  <si>
    <t xml:space="preserve">Thêm cột</t>
  </si>
  <si>
    <t xml:space="preserve">Backlog cột P</t>
  </si>
  <si>
    <t xml:space="preserve">Thư mục code (phần sở hữu)</t>
  </si>
  <si>
    <t xml:space="preserve">Mỗi task gắn với thư mục cụ thể, khớp CODEOWNERS</t>
  </si>
  <si>
    <t xml:space="preserve">Kiến trúc</t>
  </si>
  <si>
    <t xml:space="preserve">Toàn bộ backend</t>
  </si>
  <si>
    <t xml:space="preserve">Thư mục theo tầng SDS Hình 1: presentation / business/&lt;service&gt; / data_access / data / infrastructure</t>
  </si>
  <si>
    <t xml:space="preserve">Code đối chiếu 1–1 với SDS; luật tầng L1–L7 kiểm tra tự động trong CI</t>
  </si>
  <si>
    <t xml:space="preserve">Đổi cách tính</t>
  </si>
  <si>
    <t xml:space="preserve">Timeline</t>
  </si>
  <si>
    <t xml:space="preserve">Ô tuần tính bằng công thức từ Backlog</t>
  </si>
  <si>
    <t xml:space="preserve">Sửa tuần ở Backlog → Timeline tự cập nhật</t>
  </si>
  <si>
    <t xml:space="preserve">MA TRẬN PHẠM VI &amp; MỨC ĐỘ ĐẶC TẢ</t>
  </si>
  <si>
    <t xml:space="preserve">Chức năng</t>
  </si>
  <si>
    <t xml:space="preserve">Nguồn</t>
  </si>
  <si>
    <t xml:space="preserve">Mức đặc tả</t>
  </si>
  <si>
    <t xml:space="preserve">Ưu tiên</t>
  </si>
  <si>
    <t xml:space="preserve">Nhận xét / quyết định</t>
  </si>
  <si>
    <t xml:space="preserve">Đăng nhập Google OAuth</t>
  </si>
  <si>
    <t xml:space="preserve">SDS FR + §5.1.1</t>
  </si>
  <si>
    <t xml:space="preserve">Chi tiết</t>
  </si>
  <si>
    <t xml:space="preserve">P0</t>
  </si>
  <si>
    <t xml:space="preserve">A02, A03 — Code + PKCE, app session, refresh xoay vòng (ADR-0005)</t>
  </si>
  <si>
    <t xml:space="preserve">Ghi chú nhanh + hoàn tác 5s</t>
  </si>
  <si>
    <t xml:space="preserve">SDS + Kịch bản #1</t>
  </si>
  <si>
    <t xml:space="preserve">N01–N07 — outbox client, POST /notes idempotent, index nền</t>
  </si>
  <si>
    <t xml:space="preserve">Thư mục + Inbox mặc định</t>
  </si>
  <si>
    <t xml:space="preserve">SDS FR</t>
  </si>
  <si>
    <t xml:space="preserve">N03, C01, C04 — xoá thư mục chuyển note về Inbox</t>
  </si>
  <si>
    <t xml:space="preserve">Xem/sửa/xoá note, cache</t>
  </si>
  <si>
    <t xml:space="preserve">SDS + Kịch bản #3, #5</t>
  </si>
  <si>
    <t xml:space="preserve">C01–C05 — PATCH có version, cache-first</t>
  </si>
  <si>
    <t xml:space="preserve">Chunk + embedding</t>
  </si>
  <si>
    <t xml:space="preserve">SDS §5.1.2</t>
  </si>
  <si>
    <t xml:space="preserve">N04, N05 — job nền, READY/SKIPPED/FAILED</t>
  </si>
  <si>
    <t xml:space="preserve">Tìm kiếm ngữ nghĩa</t>
  </si>
  <si>
    <t xml:space="preserve">SDS §5.1.3 + Kịch bản #4</t>
  </si>
  <si>
    <t xml:space="preserve">R01, R03–R05 — hybrid vector + full-text (RRF)</t>
  </si>
  <si>
    <t xml:space="preserve">Tóm tắt bằng AI</t>
  </si>
  <si>
    <t xml:space="preserve">SDS §5.1.4</t>
  </si>
  <si>
    <t xml:space="preserve">Đã đặc tả (SUM-01)</t>
  </si>
  <si>
    <t xml:space="preserve">SUM-01..04 — preview rồi xác nhận mới lưu (v1 xếp P1 — lệch SDS)</t>
  </si>
  <si>
    <t xml:space="preserve">Quota AI theo token</t>
  </si>
  <si>
    <t xml:space="preserve">A04 — reserve/commit/release, ledger chống trừ trùng</t>
  </si>
  <si>
    <t xml:space="preserve">Xoá tài khoản + dữ liệu</t>
  </si>
  <si>
    <t xml:space="preserve">SDS §5.1.5</t>
  </si>
  <si>
    <t xml:space="preserve">A06, A08 — MỚI (v1 không có task)</t>
  </si>
  <si>
    <t xml:space="preserve">Ghi log hoạt động/lỗi</t>
  </si>
  <si>
    <t xml:space="preserve">A07 — MỚI; log JSON, request_id, không log nội dung</t>
  </si>
  <si>
    <t xml:space="preserve">Chat RAG streaming</t>
  </si>
  <si>
    <t xml:space="preserve">SDS §5.1.6 (Nice-to-have)</t>
  </si>
  <si>
    <t xml:space="preserve">P1</t>
  </si>
  <si>
    <t xml:space="preserve">X01, X02 — SSE (ADR-0009)</t>
  </si>
  <si>
    <t xml:space="preserve">Rerank</t>
  </si>
  <si>
    <t xml:space="preserve">Kịch bản #4</t>
  </si>
  <si>
    <t xml:space="preserve">Một phần</t>
  </si>
  <si>
    <t xml:space="preserve">R02 — sau cờ cấu hình, có fallback</t>
  </si>
  <si>
    <t xml:space="preserve">Gắn thẻ / lọc</t>
  </si>
  <si>
    <t xml:space="preserve">SDS (Nice-to-have)</t>
  </si>
  <si>
    <t xml:space="preserve">X03</t>
  </si>
  <si>
    <t xml:space="preserve">Lưu dữ liệu tối đa 1 năm</t>
  </si>
  <si>
    <t xml:space="preserve">SDS NFR</t>
  </si>
  <si>
    <t xml:space="preserve">RET-01</t>
  </si>
  <si>
    <t xml:space="preserve">Skim trang (Readability)</t>
  </si>
  <si>
    <t xml:space="preserve">Kịch bản #2</t>
  </si>
  <si>
    <t xml:space="preserve">Không có trong SDS → loại khỏi kế hoạch; giữ làm hướng phát triển</t>
  </si>
  <si>
    <t xml:space="preserve">Tự triển khai / LLM cục bộ</t>
  </si>
  <si>
    <t xml:space="preserve">Báo cáo ý tưởng</t>
  </si>
  <si>
    <t xml:space="preserve">Định hướng</t>
  </si>
  <si>
    <t xml:space="preserve">SDS: ngoài phạm vi; AI adapter đã cho phép trỏ endpoint tương thích OpenAI</t>
  </si>
  <si>
    <t xml:space="preserve">BACKLOG PHÂN CÔNG CHI TIẾT</t>
  </si>
  <si>
    <t xml:space="preserve">ID</t>
  </si>
  <si>
    <t xml:space="preserve">Giai đoạn</t>
  </si>
  <si>
    <t xml:space="preserve">Hạng mục</t>
  </si>
  <si>
    <t xml:space="preserve">Người phụ trách</t>
  </si>
  <si>
    <t xml:space="preserve">Phối hợp</t>
  </si>
  <si>
    <t xml:space="preserve">Tuần BĐ</t>
  </si>
  <si>
    <t xml:space="preserve">Tuần KT</t>
  </si>
  <si>
    <t xml:space="preserve">Giờ</t>
  </si>
  <si>
    <t xml:space="preserve">Phụ thuộc</t>
  </si>
  <si>
    <t xml:space="preserve">Deliverable</t>
  </si>
  <si>
    <t xml:space="preserve">Tiêu chí nghiệm thu</t>
  </si>
  <si>
    <t xml:space="preserve">Trạng thái</t>
  </si>
  <si>
    <t xml:space="preserve">% hoàn thành</t>
  </si>
  <si>
    <t xml:space="preserve">P01</t>
  </si>
  <si>
    <t xml:space="preserve">Khởi động</t>
  </si>
  <si>
    <t xml:space="preserve">Cả nhóm review &amp; chốt kiến trúc phân tầng theo SDS Hình 1 (presentation/business/data_access/data/infrastructure), 9 ADR, luật L1–L7</t>
  </si>
  <si>
    <t xml:space="preserve">Cả nhóm</t>
  </si>
  <si>
    <t xml:space="preserve">docs/architecture + docs/adr đã duyệt</t>
  </si>
  <si>
    <t xml:space="preserve">Mọi thành viên chỉ ra được: tầng + thư mục service mình sở hữu, cách gọi service khác (package public / RPC)</t>
  </si>
  <si>
    <t xml:space="preserve">Đang thực hiện</t>
  </si>
  <si>
    <t xml:space="preserve">docs/</t>
  </si>
  <si>
    <t xml:space="preserve">P02</t>
  </si>
  <si>
    <t xml:space="preserve">API &amp; dữ liệu</t>
  </si>
  <si>
    <t xml:space="preserve">Duyệt quy ước API: hợp nhất /notes/quick, /notes/ragged → POST /notes; PATCH theo id; bulk-delete; error contract</t>
  </si>
  <si>
    <t xml:space="preserve">docs/api/conventions.md + OpenAPI</t>
  </si>
  <si>
    <t xml:space="preserve">Không còn endpoint mâu thuẫn giữa SDS, kịch bản và code</t>
  </si>
  <si>
    <t xml:space="preserve">docs/api/</t>
  </si>
  <si>
    <t xml:space="preserve">P03</t>
  </si>
  <si>
    <t xml:space="preserve">AI</t>
  </si>
  <si>
    <t xml:space="preserve">Spike OpenAI: đo latency/chi phí embedding &amp; tóm tắt cho văn bản tiếng Việt; chốt model, chunk size, hạn mức quota</t>
  </si>
  <si>
    <t xml:space="preserve">Báo cáo spike + giá trị cấu hình .env</t>
  </si>
  <si>
    <t xml:space="preserve">Có số liệu p50/p95, token/1000 ký tự, đề xuất QUOTA_DEFAULT_TOKENS</t>
  </si>
  <si>
    <t xml:space="preserve">Chưa bắt đầu</t>
  </si>
  <si>
    <t xml:space="preserve">apps/api/src/quickassist/infrastructure/openai/</t>
  </si>
  <si>
    <t xml:space="preserve">P04</t>
  </si>
  <si>
    <t xml:space="preserve">UX</t>
  </si>
  <si>
    <t xml:space="preserve">User flow + wireframe 6 luồng SDS: đăng nhập, ghi chú nhanh + hoàn tác, thư viện/thư mục, tìm kiếm, tóm tắt, xoá tài khoản</t>
  </si>
  <si>
    <t xml:space="preserve">Wireframe + user flow</t>
  </si>
  <si>
    <t xml:space="preserve">Bao phủ happy path, loading, empty, error, undo, hết quota</t>
  </si>
  <si>
    <t xml:space="preserve">docs/ux/</t>
  </si>
  <si>
    <t xml:space="preserve">P05</t>
  </si>
  <si>
    <t xml:space="preserve">Nền tảng</t>
  </si>
  <si>
    <t xml:space="preserve">Extension</t>
  </si>
  <si>
    <t xml:space="preserve">Review base code extension (background/content/ui/shared); tạo OAuth client trên Google Cloud; load unpacked chạy được</t>
  </si>
  <si>
    <t xml:space="preserve">Extension skeleton chạy được</t>
  </si>
  <si>
    <t xml:space="preserve">npm test + build pass; cài được ở developer mode</t>
  </si>
  <si>
    <t xml:space="preserve">apps/extension/src/background, shared, content</t>
  </si>
  <si>
    <t xml:space="preserve">P06</t>
  </si>
  <si>
    <t xml:space="preserve">Backend</t>
  </si>
  <si>
    <t xml:space="preserve">Review base code backend: infrastructure/ (config, logging, jobs, security), data/database, presentation/api (deps, lỗi, middleware); docker-compose; migration 0001</t>
  </si>
  <si>
    <t xml:space="preserve">Backend skeleton chạy được</t>
  </si>
  <si>
    <t xml:space="preserve">docker compose up chạy; /health/ready ok; pytest pass</t>
  </si>
  <si>
    <t xml:space="preserve">apps/api/src/quickassist/infrastructure/, data/, presentation/api/; infra/</t>
  </si>
  <si>
    <t xml:space="preserve">P07</t>
  </si>
  <si>
    <t xml:space="preserve">Review AI adapter (port, mock, openai); thêm test adapter OpenAI bằng HTTP mock (429/5xx/timeout)</t>
  </si>
  <si>
    <t xml:space="preserve">AI adapter + test</t>
  </si>
  <si>
    <t xml:space="preserve">Đổi provider qua AI_PROVIDER; retry/backoff có test</t>
  </si>
  <si>
    <t xml:space="preserve">P08</t>
  </si>
  <si>
    <t xml:space="preserve">QA</t>
  </si>
  <si>
    <t xml:space="preserve">Test strategy + ma trận truy vết (RTM) từ FR trong SDS → test case; Definition of Done</t>
  </si>
  <si>
    <t xml:space="preserve">Test plan + RTM</t>
  </si>
  <si>
    <t xml:space="preserve">Mỗi FR Must-have có test case và người chịu trách nhiệm</t>
  </si>
  <si>
    <t xml:space="preserve">docs/qa/</t>
  </si>
  <si>
    <t xml:space="preserve">P09</t>
  </si>
  <si>
    <t xml:space="preserve">Quy trình</t>
  </si>
  <si>
    <t xml:space="preserve">Bật branch protection main/dev, điền GitHub username vào CODEOWNERS, CI xanh trên PR đầu tiên</t>
  </si>
  <si>
    <t xml:space="preserve">CI + CODEOWNERS hoạt động</t>
  </si>
  <si>
    <t xml:space="preserve">PR vi phạm luật kiến trúc bị CI chặn</t>
  </si>
  <si>
    <t xml:space="preserve">.github/</t>
  </si>
  <si>
    <t xml:space="preserve">D01</t>
  </si>
  <si>
    <t xml:space="preserve">Tài liệu</t>
  </si>
  <si>
    <t xml:space="preserve">Cập nhật SDS theo docs/architecture/sds-review.md (11 điểm): bỏ chữ microservice ở §5.2, vẽ lại Hình 1 có QuotaService + repositories + AI adapter, thiết kế dữ liệu §6, trade-off</t>
  </si>
  <si>
    <t xml:space="preserve">SDS v1.1</t>
  </si>
  <si>
    <t xml:space="preserve">SDS, kiến trúc và code thống nhất</t>
  </si>
  <si>
    <t xml:space="preserve">docs/specs/</t>
  </si>
  <si>
    <t xml:space="preserve">A01</t>
  </si>
  <si>
    <t xml:space="preserve">Dữ liệu</t>
  </si>
  <si>
    <t xml:space="preserve">Review data/models + migration 0001, vẽ ERD (khớp SDS §6); quy ước migration theo service</t>
  </si>
  <si>
    <t xml:space="preserve">ERD + migration</t>
  </si>
  <si>
    <t xml:space="preserve">alembic upgrade/downgrade/check pass trên CI</t>
  </si>
  <si>
    <t xml:space="preserve">apps/api/migrations/</t>
  </si>
  <si>
    <t xml:space="preserve">A02</t>
  </si>
  <si>
    <t xml:space="preserve">Tài khoản</t>
  </si>
  <si>
    <t xml:space="preserve">Hoàn thiện Google OAuth backend: exchange code, verify id_token (JWKS), refresh xoay vòng, test với id_token giả lập</t>
  </si>
  <si>
    <t xml:space="preserve">A01,P02</t>
  </si>
  <si>
    <t xml:space="preserve">Auth API + test</t>
  </si>
  <si>
    <t xml:space="preserve">Validate state/nonce/iss/aud/exp/email_verified; reuse refresh → thu hồi mọi phiên</t>
  </si>
  <si>
    <t xml:space="preserve">apps/api/src/quickassist/business/auth/, infrastructure/google_oauth/, controllers/auth_controller.py</t>
  </si>
  <si>
    <t xml:space="preserve">A03</t>
  </si>
  <si>
    <t xml:space="preserve">Google OAuth trên extension: launchWebAuthFlow + PKCE, lưu session, refresh single-flight, logout</t>
  </si>
  <si>
    <t xml:space="preserve">A02,P05</t>
  </si>
  <si>
    <t xml:space="preserve">Login/logout hoạt động</t>
  </si>
  <si>
    <t xml:space="preserve">Không có form mật khẩu; không log token; hết phiên xử lý đúng</t>
  </si>
  <si>
    <t xml:space="preserve">apps/extension/src/background/auth/</t>
  </si>
  <si>
    <t xml:space="preserve">A04</t>
  </si>
  <si>
    <t xml:space="preserve">Quota</t>
  </si>
  <si>
    <t xml:space="preserve">Hoàn thiện quota reserve/commit/release, GET /me/quota, test đồng thời (race) và chống trừ trùng</t>
  </si>
  <si>
    <t xml:space="preserve">A01,P03</t>
  </si>
  <si>
    <t xml:space="preserve">Quota module + test</t>
  </si>
  <si>
    <t xml:space="preserve">Chặn đúng khi hết quota; ledger request_id duy nhất; không âm</t>
  </si>
  <si>
    <t xml:space="preserve">apps/api/src/quickassist/business/quota/, data_access/repositories/quota_repository.py</t>
  </si>
  <si>
    <t xml:space="preserve">A05</t>
  </si>
  <si>
    <t xml:space="preserve">UI</t>
  </si>
  <si>
    <t xml:space="preserve">Design system + app shell: token màu, Button/Spinner/Empty/Error/Toast/Modal, điều hướng bàn phím</t>
  </si>
  <si>
    <t xml:space="preserve">P04,P05</t>
  </si>
  <si>
    <t xml:space="preserve">UI component set</t>
  </si>
  <si>
    <t xml:space="preserve">Mọi màn dùng chung component; đạt tương phản WCAG AA</t>
  </si>
  <si>
    <t xml:space="preserve">apps/extension/src/ui/components, ui/styles.css</t>
  </si>
  <si>
    <t xml:space="preserve">GET /me, DELETE /me: xoá tài khoản + toàn bộ dữ liệu trong 1 transaction (SDS §5.1.5) — task MỚI</t>
  </si>
  <si>
    <t xml:space="preserve">Accounts API + test cascade</t>
  </si>
  <si>
    <t xml:space="preserve">Sau khi xoá: 0 dòng ở mọi bảng của user; lỗi giữa chừng → rollback</t>
  </si>
  <si>
    <t xml:space="preserve">apps/api/src/quickassist/business/auth/account_service.py, controllers/account_controller.py</t>
  </si>
  <si>
    <t xml:space="preserve">Vận hành</t>
  </si>
  <si>
    <t xml:space="preserve">Log JSON có request_id, che dữ liệu nhạy cảm, log lỗi &amp; hoạt động chính (FR ghi log) — task MỚI</t>
  </si>
  <si>
    <t xml:space="preserve">Logging + test redaction</t>
  </si>
  <si>
    <t xml:space="preserve">Không có token/nội dung note trong log; mọi lỗi tra được bằng request_id</t>
  </si>
  <si>
    <t xml:space="preserve">apps/api/src/quickassist/infrastructure/logging.py</t>
  </si>
  <si>
    <t xml:space="preserve">SUM-01</t>
  </si>
  <si>
    <t xml:space="preserve">Tóm tắt</t>
  </si>
  <si>
    <t xml:space="preserve">Đặc tả tóm tắt (thay G01): đầu vào (note/vùng chọn), độ dài, prompt chống injection, quota, xác nhận trước khi lưu</t>
  </si>
  <si>
    <t xml:space="preserve">Đặc tả + acceptance</t>
  </si>
  <si>
    <t xml:space="preserve">Chốt input/output/giới hạn; bộ 10 trang mẫu (có trang chứa prompt injection)</t>
  </si>
  <si>
    <t xml:space="preserve">N01</t>
  </si>
  <si>
    <t xml:space="preserve">MVP Ghi chú</t>
  </si>
  <si>
    <t xml:space="preserve">Bắt vùng chọn: menu chuột phải + Ctrl+Alt+N qua chrome.scripting/activeTab (không content script thường trực)</t>
  </si>
  <si>
    <t xml:space="preserve">Selection capture</t>
  </si>
  <si>
    <t xml:space="preserve">Lấy text + URL + tiêu đề; chạy trên 5 trang mẫu; trang chrome:// không lỗi</t>
  </si>
  <si>
    <t xml:space="preserve">apps/extension/src/background/index.ts, content/</t>
  </si>
  <si>
    <t xml:space="preserve">N02</t>
  </si>
  <si>
    <t xml:space="preserve">Toast đếm ngược 5s + Hoàn tác (nút &amp; Ctrl+Alt+Z), Shadow DOM không vỡ CSS trang (Dương duyệt giao diện)</t>
  </si>
  <si>
    <t xml:space="preserve">A05,N01</t>
  </si>
  <si>
    <t xml:space="preserve">Undo toast</t>
  </si>
  <si>
    <t xml:space="preserve">Hoàn tác huỷ đúng note; hiển thị trạng thái đã gửi/đã hoàn tác</t>
  </si>
  <si>
    <t xml:space="preserve">apps/extension/src/content/injected.ts (renderToast)</t>
  </si>
  <si>
    <t xml:space="preserve">N03</t>
  </si>
  <si>
    <t xml:space="preserve">Notes API: POST /notes (Idempotency-Key), thư mục + Inbox mặc định, validation, ownership</t>
  </si>
  <si>
    <t xml:space="preserve">A01,A02,P02</t>
  </si>
  <si>
    <t xml:space="preserve">Notes API + test</t>
  </si>
  <si>
    <t xml:space="preserve">Gửi lại cùng key không tạo trùng; user khác nhận 404; integration test pass</t>
  </si>
  <si>
    <t xml:space="preserve">apps/api/src/quickassist/business/notes/, controllers/notes_controller.py</t>
  </si>
  <si>
    <t xml:space="preserve">N04</t>
  </si>
  <si>
    <t xml:space="preserve">Chunking v2 (theo ngữ nghĩa/câu tiếng Việt) giữ nguyên chữ ký hàm; đo ảnh hưởng tới chất lượng tìm kiếm</t>
  </si>
  <si>
    <t xml:space="preserve">chunking.py + benchmark</t>
  </si>
  <si>
    <t xml:space="preserve">Không mất nội dung; chunk ≤ giới hạn; có số liệu so sánh v1/v2</t>
  </si>
  <si>
    <t xml:space="preserve">apps/api/src/quickassist/business/semantic_search/chunking.py</t>
  </si>
  <si>
    <t xml:space="preserve">N05</t>
  </si>
  <si>
    <t xml:space="preserve">Job index: embed → pgvector → READY/SKIPPED/FAILED, trừ quota theo usage thật, retry có kiểm soát</t>
  </si>
  <si>
    <t xml:space="preserve">N03,N04,A04</t>
  </si>
  <si>
    <t xml:space="preserve">Indexing job + test</t>
  </si>
  <si>
    <t xml:space="preserve">Hết quota → SKIPPED không trừ; lỗi AI → retry rồi FAILED; sửa note không kẹt PROCESSING</t>
  </si>
  <si>
    <t xml:space="preserve">apps/api/src/quickassist/business/semantic_search/indexing_job.py</t>
  </si>
  <si>
    <t xml:space="preserve">N06</t>
  </si>
  <si>
    <t xml:space="preserve">Outbox IndexedDB + retry alarm + hiển thị note gửi thất bại để gửi lại thủ công</t>
  </si>
  <si>
    <t xml:space="preserve">N02,N03</t>
  </si>
  <si>
    <t xml:space="preserve">Outbox + trạng thái</t>
  </si>
  <si>
    <t xml:space="preserve">Mất mạng không mất note; không trùng khi retry</t>
  </si>
  <si>
    <t xml:space="preserve">apps/extension/src/background/notes/quick-note.ts</t>
  </si>
  <si>
    <t xml:space="preserve">N07</t>
  </si>
  <si>
    <t xml:space="preserve">E2E ghi chú nhanh: hoàn tác, mất mạng, hết quota, trang đặc biệt</t>
  </si>
  <si>
    <t xml:space="preserve">N02,N03,N05,N06</t>
  </si>
  <si>
    <t xml:space="preserve">E2E report</t>
  </si>
  <si>
    <t xml:space="preserve">Các ca P0 pass; lỗi có bằng chứng + owner</t>
  </si>
  <si>
    <t xml:space="preserve">apps/extension/tests, docs/qa/</t>
  </si>
  <si>
    <t xml:space="preserve">C01</t>
  </si>
  <si>
    <t xml:space="preserve">Thư viện note</t>
  </si>
  <si>
    <t xml:space="preserve">Hoàn thiện CRUD: PATCH có version (409), bulk-delete, phân trang cursor, đổi tên/xoá thư mục</t>
  </si>
  <si>
    <t xml:space="preserve">CRUD API + test</t>
  </si>
  <si>
    <t xml:space="preserve">Ownership bắt buộc; 409 đúng; xoá thư mục → note về Inbox</t>
  </si>
  <si>
    <t xml:space="preserve">apps/api/src/quickassist/business/notes/, data_access/(note|folder)_repository.py, controllers/(notes|folders)_controller.py</t>
  </si>
  <si>
    <t xml:space="preserve">C02</t>
  </si>
  <si>
    <t xml:space="preserve">Cache-first IndexedDB + sync tăng dần (updated_since, tombstone)</t>
  </si>
  <si>
    <t xml:space="preserve">N06,C01</t>
  </si>
  <si>
    <t xml:space="preserve">Cache/sync module</t>
  </si>
  <si>
    <t xml:space="preserve">Mở thư viện &lt; 200ms từ cache; xoá ở máy khác → biến mất sau sync</t>
  </si>
  <si>
    <t xml:space="preserve">apps/extension/src/background/notes/sync.ts, shared/storage/</t>
  </si>
  <si>
    <t xml:space="preserve">C03</t>
  </si>
  <si>
    <t xml:space="preserve">Màn thư viện: danh sách/chi tiết/sửa (xử lý 409)/xoá nhiều/quản lý thư mục</t>
  </si>
  <si>
    <t xml:space="preserve">A05,C01</t>
  </si>
  <si>
    <t xml:space="preserve">Library UI</t>
  </si>
  <si>
    <t xml:space="preserve">Duyệt/sửa/xoá/lọc chạy với cache và server; có empty/error state</t>
  </si>
  <si>
    <t xml:space="preserve">apps/extension/src/ui/features/notes/</t>
  </si>
  <si>
    <t xml:space="preserve">C04</t>
  </si>
  <si>
    <t xml:space="preserve">Chọn thư mục khi lưu nhanh (menu con/phím tắt mở hộp chọn) + RPC folders</t>
  </si>
  <si>
    <t xml:space="preserve">C02,C03</t>
  </si>
  <si>
    <t xml:space="preserve">Folder integration</t>
  </si>
  <si>
    <t xml:space="preserve">Ghi chú vào đúng thư mục; không chọn → Inbox</t>
  </si>
  <si>
    <t xml:space="preserve">apps/extension/src/background/, shared/messaging/</t>
  </si>
  <si>
    <t xml:space="preserve">C05</t>
  </si>
  <si>
    <t xml:space="preserve">Test CRUD, cache, offline, xung đột version, xoá hàng loạt, IDOR</t>
  </si>
  <si>
    <t xml:space="preserve">C01,C02,C03</t>
  </si>
  <si>
    <t xml:space="preserve">CRUD test report</t>
  </si>
  <si>
    <t xml:space="preserve">Mọi nhánh lỗi được xác minh</t>
  </si>
  <si>
    <t xml:space="preserve">apps/api/tests/integration, docs/qa/</t>
  </si>
  <si>
    <t xml:space="preserve">R01</t>
  </si>
  <si>
    <t xml:space="preserve">Tìm kiếm</t>
  </si>
  <si>
    <t xml:space="preserve">Tinh chỉnh hybrid retrieval (RRF, candidate_k, unaccent tiếng Việt), test cô lập dữ liệu user</t>
  </si>
  <si>
    <t xml:space="preserve">Retrieval + test</t>
  </si>
  <si>
    <t xml:space="preserve">Không rò dữ liệu chéo user; top-5 có score; p95 &lt; 3s</t>
  </si>
  <si>
    <t xml:space="preserve">apps/api/src/quickassist/data_access/repositories/note_chunk_repository.py</t>
  </si>
  <si>
    <t xml:space="preserve">R03</t>
  </si>
  <si>
    <t xml:space="preserve">POST /search: lọc thư mục, giới hạn tần suất/user, response kèm tiêu đề/URL nguồn</t>
  </si>
  <si>
    <t xml:space="preserve">R01,A04</t>
  </si>
  <si>
    <t xml:space="preserve">Search API</t>
  </si>
  <si>
    <t xml:space="preserve">Contract đúng; trừ quota đúng; lọc thư mục pass</t>
  </si>
  <si>
    <t xml:space="preserve">apps/api/src/quickassist/business/semantic_search/, controllers/search_controller.py</t>
  </si>
  <si>
    <t xml:space="preserve">R04</t>
  </si>
  <si>
    <t xml:space="preserve">Màn tìm kiếm: nhập câu hỏi, kết quả kèm nguồn, mở trang/ghi chú gốc</t>
  </si>
  <si>
    <t xml:space="preserve">A05,R03</t>
  </si>
  <si>
    <t xml:space="preserve">Search UI</t>
  </si>
  <si>
    <t xml:space="preserve">Loading/empty/error/kết quả rõ; mở được nguồn</t>
  </si>
  <si>
    <t xml:space="preserve">apps/extension/src/ui/features/search/</t>
  </si>
  <si>
    <t xml:space="preserve">R05</t>
  </si>
  <si>
    <t xml:space="preserve">Nghiệm thu tìm kiếm: bộ câu hỏi mẫu, phân quyền, hết quota</t>
  </si>
  <si>
    <t xml:space="preserve">R03,R04</t>
  </si>
  <si>
    <t xml:space="preserve">Acceptance report</t>
  </si>
  <si>
    <t xml:space="preserve">Đạt ngưỡng ở H03; không lộ dữ liệu</t>
  </si>
  <si>
    <t xml:space="preserve">SUM-02</t>
  </si>
  <si>
    <t xml:space="preserve">Backend tóm tắt: POST /ai/summaries (preview), PUT /notes/{id}/summary, giới hạn đầu vào, quota</t>
  </si>
  <si>
    <t xml:space="preserve">SUM-01,A04</t>
  </si>
  <si>
    <t xml:space="preserve">Summary API + test</t>
  </si>
  <si>
    <t xml:space="preserve">Preview không ghi DB; chỉ lưu khi xác nhận; trừ quota theo usage</t>
  </si>
  <si>
    <t xml:space="preserve">apps/api/src/quickassist/business/summary/, controllers/summary_controller.py</t>
  </si>
  <si>
    <t xml:space="preserve">SUM-03</t>
  </si>
  <si>
    <t xml:space="preserve">UI tóm tắt: nút trên thẻ note + tóm tắt vùng chọn, xem trước → Lưu/Huỷ</t>
  </si>
  <si>
    <t xml:space="preserve">SUM-02,C03</t>
  </si>
  <si>
    <t xml:space="preserve">Summary UI</t>
  </si>
  <si>
    <t xml:space="preserve">Trạng thái loading/lỗi/hết quota rõ</t>
  </si>
  <si>
    <t xml:space="preserve">apps/extension/src/ui/features/summary/</t>
  </si>
  <si>
    <t xml:space="preserve">SUM-04</t>
  </si>
  <si>
    <t xml:space="preserve">Test tóm tắt: trang dài, trang chứa prompt injection, hết quota, lỗi AI</t>
  </si>
  <si>
    <t xml:space="preserve">SUM-02,SUM-03</t>
  </si>
  <si>
    <t xml:space="preserve">Test report</t>
  </si>
  <si>
    <t xml:space="preserve">Model không làm theo chỉ dẫn trong trang mẫu</t>
  </si>
  <si>
    <t xml:space="preserve">Màn Cài đặt: thông tin tài khoản, quota còn lại, đăng xuất, xoá tài khoản (xác nhận 2 bước)</t>
  </si>
  <si>
    <t xml:space="preserve">A06,A03</t>
  </si>
  <si>
    <t xml:space="preserve">Settings UI</t>
  </si>
  <si>
    <t xml:space="preserve">Xoá tài khoản xoá cả cache local</t>
  </si>
  <si>
    <t xml:space="preserve">apps/extension/src/ui/features/account/</t>
  </si>
  <si>
    <t xml:space="preserve">R02</t>
  </si>
  <si>
    <t xml:space="preserve">Mở rộng</t>
  </si>
  <si>
    <t xml:space="preserve">Rerank top-k bằng LLM sau cờ SEARCH_RERANK_ENABLED + timeout fallback</t>
  </si>
  <si>
    <t xml:space="preserve">Rerank adapter</t>
  </si>
  <si>
    <t xml:space="preserve">Bật/tắt bằng cấu hình; timeout → giữ thứ tự RRF</t>
  </si>
  <si>
    <t xml:space="preserve">apps/api/src/quickassist/business/semantic_search/semantic_search_service.py</t>
  </si>
  <si>
    <t xml:space="preserve">X01</t>
  </si>
  <si>
    <t xml:space="preserve">Chat RAG: SSE, 5 cặp hỏi-đáp gần nhất, nguồn trích dẫn, Stop → vẫn trừ quota phần đã sinh</t>
  </si>
  <si>
    <t xml:space="preserve">R03,SUM-02</t>
  </si>
  <si>
    <t xml:space="preserve">Chat API</t>
  </si>
  <si>
    <t xml:space="preserve">Stream ổn định; Stop dừng trong &lt; 1s</t>
  </si>
  <si>
    <t xml:space="preserve">apps/api/src/quickassist/business/rag/ (+ data/models, data_access chat), controllers/rag_controller.py</t>
  </si>
  <si>
    <t xml:space="preserve">X02</t>
  </si>
  <si>
    <t xml:space="preserve">Chat UI: stream qua chrome.runtime Port, nút Stop, hiển thị nguồn</t>
  </si>
  <si>
    <t xml:space="preserve">X01,R04</t>
  </si>
  <si>
    <t xml:space="preserve">Chat UI</t>
  </si>
  <si>
    <t xml:space="preserve">Nhận token liên tục; Stop hoạt động</t>
  </si>
  <si>
    <t xml:space="preserve">apps/extension/src/ui/features/chat/, background/</t>
  </si>
  <si>
    <t xml:space="preserve">Gắn thẻ &amp; lọc theo thẻ (bảng tags, note_tags) + UI lọc</t>
  </si>
  <si>
    <t xml:space="preserve">Tags API + UI</t>
  </si>
  <si>
    <t xml:space="preserve">Lọc thẻ đúng, ownership đúng</t>
  </si>
  <si>
    <t xml:space="preserve">Job dọn dữ liệu tài khoản không hoạt động &gt; 1 năm (NFR lưu trữ) + cảnh báo trước</t>
  </si>
  <si>
    <t xml:space="preserve">Retention job</t>
  </si>
  <si>
    <t xml:space="preserve">Chạy được theo lịch; có test</t>
  </si>
  <si>
    <t xml:space="preserve">H01</t>
  </si>
  <si>
    <t xml:space="preserve">Hoàn thiện</t>
  </si>
  <si>
    <t xml:space="preserve">Bảo mật</t>
  </si>
  <si>
    <t xml:space="preserve">Rà soát extension: permission tối thiểu, CSP, nơi lưu token, không secret trong bundle</t>
  </si>
  <si>
    <t xml:space="preserve">A03,C02</t>
  </si>
  <si>
    <t xml:space="preserve">Security checklist</t>
  </si>
  <si>
    <t xml:space="preserve">Không &lt;all_urls&gt;; không secret/token trong bundle &amp; log</t>
  </si>
  <si>
    <t xml:space="preserve">apps/extension/src/</t>
  </si>
  <si>
    <t xml:space="preserve">H02</t>
  </si>
  <si>
    <t xml:space="preserve">Hardening backend: rate limit, CORS đúng extension ID, HTTPS, bộ test IDOR cho mọi endpoint</t>
  </si>
  <si>
    <t xml:space="preserve">C01,R03,A02</t>
  </si>
  <si>
    <t xml:space="preserve">Hardening + test</t>
  </si>
  <si>
    <t xml:space="preserve">Không lộ chi tiết lỗi nội bộ; IDOR test pass</t>
  </si>
  <si>
    <t xml:space="preserve">apps/api/src/quickassist/presentation/api/, main.py</t>
  </si>
  <si>
    <t xml:space="preserve">H03</t>
  </si>
  <si>
    <t xml:space="preserve">Bộ đánh giá relevance/latency (Recall@5, MRR) + ngưỡng chấp nhận</t>
  </si>
  <si>
    <t xml:space="preserve">Evaluation report</t>
  </si>
  <si>
    <t xml:space="preserve">Có số liệu và ngưỡng; dùng để chọn cấu hình chunk/RRF</t>
  </si>
  <si>
    <t xml:space="preserve">apps/api/tests/eval/</t>
  </si>
  <si>
    <t xml:space="preserve">Triển khai</t>
  </si>
  <si>
    <t xml:space="preserve">Deploy cloud (API + worker + Postgres/pgvector), secret, backup, runbook</t>
  </si>
  <si>
    <t xml:space="preserve">Deploy + runbook</t>
  </si>
  <si>
    <t xml:space="preserve">Triển khai mới từ hướng dẫn trong &lt; 30 phút</t>
  </si>
  <si>
    <t xml:space="preserve">infra/, docs/</t>
  </si>
  <si>
    <t xml:space="preserve">H05</t>
  </si>
  <si>
    <t xml:space="preserve">Regression E2E, usability, accessibility, kiểm thử kịch bản demo</t>
  </si>
  <si>
    <t xml:space="preserve">N07,C05,R05,SUM-04,H01,H02</t>
  </si>
  <si>
    <t xml:space="preserve">Release test report</t>
  </si>
  <si>
    <t xml:space="preserve">0 lỗi P0/P1 mở; checklist demo pass</t>
  </si>
  <si>
    <t xml:space="preserve">H06</t>
  </si>
  <si>
    <t xml:space="preserve">Tích hợp</t>
  </si>
  <si>
    <t xml:space="preserve">Tối ưu, sửa lỗi tích hợp extension, đóng gói zip phát hành</t>
  </si>
  <si>
    <t xml:space="preserve">R04,H01</t>
  </si>
  <si>
    <t xml:space="preserve">Extension RC</t>
  </si>
  <si>
    <t xml:space="preserve">Build sạch; luồng P0 ổn định</t>
  </si>
  <si>
    <t xml:space="preserve">apps/extension/</t>
  </si>
  <si>
    <t xml:space="preserve">H07</t>
  </si>
  <si>
    <t xml:space="preserve">Release candidate server: migration, cấu hình demo, smoke test</t>
  </si>
  <si>
    <t xml:space="preserve">Server RC</t>
  </si>
  <si>
    <t xml:space="preserve">Smoke test pass trên môi trường demo</t>
  </si>
  <si>
    <t xml:space="preserve">apps/api/, infra/</t>
  </si>
  <si>
    <t xml:space="preserve">H08</t>
  </si>
  <si>
    <t xml:space="preserve">Báo cáo cuối, hướng dẫn sử dụng, kịch bản thuyết trình 10–15'</t>
  </si>
  <si>
    <t xml:space="preserve">H05,H06,H07</t>
  </si>
  <si>
    <t xml:space="preserve">Report + user guide + demo script</t>
  </si>
  <si>
    <t xml:space="preserve">Tài liệu khớp sản phẩm</t>
  </si>
  <si>
    <t xml:space="preserve">TIMELINE 8 TUẦN</t>
  </si>
  <si>
    <t xml:space="preserve">Ô tuần tự tính từ cột Tuần BĐ/Tuần KT của sheet Backlog — sửa ở Backlog, Timeline tự cập nhật.</t>
  </si>
  <si>
    <t xml:space="preserve">Owner</t>
  </si>
  <si>
    <t xml:space="preserve">Tuần 1</t>
  </si>
  <si>
    <t xml:space="preserve">Tuần 2</t>
  </si>
  <si>
    <t xml:space="preserve">Tuần 3</t>
  </si>
  <si>
    <t xml:space="preserve">Tuần 4</t>
  </si>
  <si>
    <t xml:space="preserve">Tuần 5</t>
  </si>
  <si>
    <t xml:space="preserve">Tuần 6</t>
  </si>
  <si>
    <t xml:space="preserve">Tuần 7</t>
  </si>
  <si>
    <t xml:space="preserve">Tuần 8</t>
  </si>
  <si>
    <t xml:space="preserve">TẢI CÔNG VIỆC THEO THÀNH VIÊN</t>
  </si>
  <si>
    <t xml:space="preserve">Vai trò</t>
  </si>
  <si>
    <t xml:space="preserve">Số task</t>
  </si>
  <si>
    <t xml:space="preserve">Tổng giờ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</si>
  <si>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</si>
  <si>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</si>
  <si>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</si>
  <si>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</si>
  <si>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</si>
  <si>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</si>
  <si>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</si>
  <si>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</si>
  <si>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Tổng</t>
  </si>
  <si>
    <t xml:space="preserve">Cách đọc</t>
  </si>
  <si>
    <t xml:space="preserve">T1–T8 phân bổ giờ ước tính đều theo số tuần của task. Dùng để nhận biết chênh lệch tải; không phải timesheet thực tế.</t>
  </si>
  <si>
    <t xml:space="preserve">Giờ theo ưu tiên</t>
  </si>
  <si>
    <t xml:space="preserve">Ghi chú</t>
  </si>
  <si>
    <t xml:space="preserve">P1 chỉ bắt đầu khi P0 của tuần đó xanh (cổng tuần 6).</t>
  </si>
  <si>
    <t xml:space="preserve">RỦI RO, KHOẢNG TRỐNG &amp; HƯỚNG XỬ LÝ</t>
  </si>
  <si>
    <t xml:space="preserve">Rủi ro / khoảng trống</t>
  </si>
  <si>
    <t xml:space="preserve">Ảnh hưởng</t>
  </si>
  <si>
    <t xml:space="preserve">Khả năng</t>
  </si>
  <si>
    <t xml:space="preserve">Giảm thiểu / quyết định</t>
  </si>
  <si>
    <t xml:space="preserve">R-01</t>
  </si>
  <si>
    <t xml:space="preserve">Thành viên viết code lấn sang module người khác → conflict, phá ranh giới</t>
  </si>
  <si>
    <t xml:space="preserve">Cao</t>
  </si>
  <si>
    <t xml:space="preserve">Test kiến trúc trong CI + CODEOWNERS bắt buộc duyệt; muốn dùng module khác → nhờ owner thêm hàm public</t>
  </si>
  <si>
    <t xml:space="preserve">R-02</t>
  </si>
  <si>
    <t xml:space="preserve">Contract API lệch giữa backend và extension</t>
  </si>
  <si>
    <t xml:space="preserve">Trung bình</t>
  </si>
  <si>
    <t xml:space="preserve">OpenAPI là nguồn sự thật; npm run gen:api; PR đổi contract cần 2 owner duyệt</t>
  </si>
  <si>
    <t xml:space="preserve">R-03</t>
  </si>
  <si>
    <t xml:space="preserve">Google OAuth: redirect URI/extension ID khác nhau giữa máy dev</t>
  </si>
  <si>
    <t xml:space="preserve">Cố định extension ID bằng key trong manifest; dev-login cho test API khi chưa có Google</t>
  </si>
  <si>
    <t xml:space="preserve">R-04</t>
  </si>
  <si>
    <t xml:space="preserve">Chi phí/rate limit OpenAI vượt dự kiến khi test</t>
  </si>
  <si>
    <t xml:space="preserve">AI_PROVIDER=mock mặc định ở dev/CI; quota theo token; spike P03 đo chi phí</t>
  </si>
  <si>
    <t xml:space="preserve">R-05</t>
  </si>
  <si>
    <t xml:space="preserve">Dữ liệu web gửi tới OpenAI (riêng tư) và prompt injection</t>
  </si>
  <si>
    <t xml:space="preserve">Chỉ gửi khi người dùng thao tác; prompt bọc dữ liệu; bộ trang thử SUM-04</t>
  </si>
  <si>
    <t xml:space="preserve">R-06</t>
  </si>
  <si>
    <t xml:space="preserve">Tìm kiếm tiếng Việt kém chính xác (dấu, từ ghép)</t>
  </si>
  <si>
    <t xml:space="preserve">Hybrid + RRF; đo bằng H03; thử unaccent; tinh chỉnh chunk N04</t>
  </si>
  <si>
    <t xml:space="preserve">R-07</t>
  </si>
  <si>
    <t xml:space="preserve">Xung đột migration Alembic khi 2 người cùng thêm bảng</t>
  </si>
  <si>
    <t xml:space="preserve">Quy ước đặt tên theo module; CI chạy alembic check; xử lý 2 head theo CONTRIBUTING.md</t>
  </si>
  <si>
    <t xml:space="preserve">R-08</t>
  </si>
  <si>
    <t xml:space="preserve">Service worker MV3 bị tắt giữa chừng làm mất ghi chú</t>
  </si>
  <si>
    <t xml:space="preserve">Outbox IndexedDB ghi ngay khi thao tác; alarm thử lại mỗi phút</t>
  </si>
  <si>
    <t xml:space="preserve">R-09</t>
  </si>
  <si>
    <t xml:space="preserve">Phạm vi rộng so với 4 người / 8 tuần</t>
  </si>
  <si>
    <t xml:space="preserve">Đã bỏ Skim; P1 chỉ mở sau cổng tuần 6; base code có sẵn</t>
  </si>
  <si>
    <t xml:space="preserve">R-10</t>
  </si>
  <si>
    <t xml:space="preserve">Dữ liệu cache cũ trên máy dùng chung sau khi đăng xuất</t>
  </si>
  <si>
    <t xml:space="preserve">Thấp</t>
  </si>
  <si>
    <t xml:space="preserve">Đăng xuất/xoá tài khoản xoá IndexedDB</t>
  </si>
  <si>
    <t xml:space="preserve">MỤC TIÊU, MỐC BÀN GIAO &amp; NHỊP LÀM VIỆC</t>
  </si>
  <si>
    <t xml:space="preserve">Tuần</t>
  </si>
  <si>
    <t xml:space="preserve">Mốc bàn giao</t>
  </si>
  <si>
    <t xml:space="preserve">Điều kiện qua cổng</t>
  </si>
  <si>
    <t xml:space="preserve">Review chính</t>
  </si>
  <si>
    <t xml:space="preserve">Chốt kiến trúc, contract, spike AI, UX</t>
  </si>
  <si>
    <t xml:space="preserve">ADR được duyệt, conventions, wireframe, CI + CODEOWNERS</t>
  </si>
  <si>
    <t xml:space="preserve">Cả nhóm chạy được base code trên máy mình</t>
  </si>
  <si>
    <t xml:space="preserve">Không code lệch contract/kiến trúc</t>
  </si>
  <si>
    <t xml:space="preserve">Nền tảng: auth, quota, schema, design system</t>
  </si>
  <si>
    <t xml:space="preserve">ERD, OAuth 2 phía, quota, UI shell, đặc tả tóm tắt</t>
  </si>
  <si>
    <t xml:space="preserve">Đăng nhập Google end-to-end</t>
  </si>
  <si>
    <t xml:space="preserve">Trịnh Mạnh Quang/Lê Đăng Sơn</t>
  </si>
  <si>
    <t xml:space="preserve">Chốt SUM-01</t>
  </si>
  <si>
    <t xml:space="preserve">Ghi chú nhanh đầu-cuối (chưa AI)</t>
  </si>
  <si>
    <t xml:space="preserve">Selection + toast + POST /notes + xoá tài khoản + log</t>
  </si>
  <si>
    <t xml:space="preserve">Lưu được note vào Inbox, hoàn tác được</t>
  </si>
  <si>
    <t xml:space="preserve">Lê Đăng Sơn/Trịnh Mạnh Quang</t>
  </si>
  <si>
    <t xml:space="preserve">Vertical slice</t>
  </si>
  <si>
    <t xml:space="preserve">Index AI + outbox + thư viện bắt đầu</t>
  </si>
  <si>
    <t xml:space="preserve">Job index, outbox, E2E ghi chú</t>
  </si>
  <si>
    <t xml:space="preserve">N01–N07 pass</t>
  </si>
  <si>
    <t xml:space="preserve">Mai Đức Vinh/Trần Thùy Dương</t>
  </si>
  <si>
    <t xml:space="preserve">Mốc MVP-1</t>
  </si>
  <si>
    <t xml:space="preserve">Thư viện + tìm kiếm</t>
  </si>
  <si>
    <t xml:space="preserve">CRUD/cache/UI thư viện, hybrid search, Search API</t>
  </si>
  <si>
    <t xml:space="preserve">Tìm thấy note vừa lưu</t>
  </si>
  <si>
    <t xml:space="preserve">Tóm tắt + nghiệm thu tìm kiếm + Cài đặt</t>
  </si>
  <si>
    <t xml:space="preserve">Summary 3 lớp, search UI, settings, R05</t>
  </si>
  <si>
    <t xml:space="preserve">Toàn bộ Must-have chạy được</t>
  </si>
  <si>
    <t xml:space="preserve">Mốc MVP-2 — cổng mở P1</t>
  </si>
  <si>
    <t xml:space="preserve">Hardening + P1 (nếu cổng xanh)</t>
  </si>
  <si>
    <t xml:space="preserve">Security, deploy, eval; chat/tags/rerank nếu kịp</t>
  </si>
  <si>
    <t xml:space="preserve">P0 không còn lỗi P0; P1 pass hoặc cắt</t>
  </si>
  <si>
    <t xml:space="preserve">Khoá tính năng cuối tuần</t>
  </si>
  <si>
    <t xml:space="preserve">Release &amp; thuyết trình</t>
  </si>
  <si>
    <t xml:space="preserve">Regression, RC extension + server, báo cáo, demo</t>
  </si>
  <si>
    <t xml:space="preserve">0 lỗi P0/P1; demo rehearsal pass</t>
  </si>
  <si>
    <t xml:space="preserve">Không thêm tính năng</t>
  </si>
  <si>
    <t xml:space="preserve">Nhịp cố định</t>
  </si>
  <si>
    <t xml:space="preserve">Đầu tuần: chốt mục tiêu &amp; dependency (30’). Giữa tuần: sync blocker (15’). Cuối tuần: demo + review + cập nhật backlog (45’). Pull request cần 1 reviewer; thay đổi contract cần owner Backend + client liên quan duyệt.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</si>
</sst>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"/>
    <numFmt numFmtId="167" formatCode="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8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2EFDA"/>
      </patternFill>
    </fill>
    <fill>
      <patternFill patternType="solid">
        <fgColor rgb="FF008C95"/>
        <bgColor rgb="FF008080"/>
      </patternFill>
    </fill>
    <fill>
      <patternFill patternType="solid">
        <fgColor rgb="FF2F75B5"/>
        <bgColor rgb="FF4F81BD"/>
      </patternFill>
    </fill>
    <fill>
      <patternFill patternType="solid">
        <fgColor rgb="FFF4CCCC"/>
        <bgColor rgb="FFD9D9D9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>
          <bgColor rgb="FFF4CCCC"/>
        </patternFill>
      </fill>
    </dxf>
    <dxf>
      <font>
        <i val="1"/>
        <color rgb="FF7F7F7F"/>
      </font>
    </dxf>
    <dxf>
      <fill>
        <patternFill>
          <bgColor rgb="FFD9EA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C95"/>
      <rgbColor rgb="FFB7B7B7"/>
      <rgbColor rgb="FF7F7F7F"/>
      <rgbColor rgb="FF9999FF"/>
      <rgbColor rgb="FF993366"/>
      <rgbColor rgb="FFFCE4D6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CCCC"/>
      <rgbColor rgb="FF2F75B5"/>
      <rgbColor rgb="FF33CCCC"/>
      <rgbColor rgb="FF99CC00"/>
      <rgbColor rgb="FFFFCC00"/>
      <rgbColor rgb="FFFF9900"/>
      <rgbColor rgb="FFFF6600"/>
      <rgbColor rgb="FF595959"/>
      <rgbColor rgb="FF878787"/>
      <rgbColor rgb="FF17365D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Tổng giờ dự kiến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'Tải công việc'!D3</c:f>
              <c:strCache>
                <c:ptCount val="1"/>
                <c:pt idx="0">
                  <c:v>Tổng giờ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'Tải công việc'!$A$4:$A$7</c:f>
              <c:strCache>
                <c:ptCount val="4"/>
                <c:pt idx="0">
                  <c:v>Lê Đăng Sơn</c:v>
                </c:pt>
                <c:pt idx="1">
                  <c:v>Trịnh Mạnh Quang</c:v>
                </c:pt>
                <c:pt idx="2">
                  <c:v>Mai Đức Vinh</c:v>
                </c:pt>
                <c:pt idx="3">
                  <c:v>Trần Thùy Dương</c:v>
                </c:pt>
              </c:strCache>
            </c:strRef>
          </c:cat>
          <c:val>
            <c:numRef>
              <c:f>'Tải công việc'!$D$4:$D$7</c:f>
              <c:numCache>
                <c:formatCode>General</c:formatCode>
                <c:ptCount val="4"/>
                <c:pt idx="0">
                  <c:v>86</c:v>
                </c:pt>
                <c:pt idx="1">
                  <c:v>79</c:v>
                </c:pt>
                <c:pt idx="2">
                  <c:v>85</c:v>
                </c:pt>
                <c:pt idx="3">
                  <c:v>83</c:v>
                </c:pt>
              </c:numCache>
            </c:numRef>
          </c:val>
        </c:ser>
        <c:gapWidth val="150"/>
        <c:overlap val="0"/>
        <c:axId val="68590331"/>
        <c:axId val="7090363"/>
      </c:barChart>
      <c:catAx>
        <c:axId val="685903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Thành viên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0363"/>
        <c:crosses val="autoZero"/>
        <c:auto val="1"/>
        <c:lblAlgn val="ctr"/>
        <c:lblOffset val="100"/>
        <c:noMultiLvlLbl val="0"/>
      </c:catAx>
      <c:valAx>
        <c:axId val="709036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Giờ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90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62640</xdr:rowOff>
    </xdr:from>
    <xdr:to>
      <xdr:col>3</xdr:col>
      <xdr:colOff>458280</xdr:colOff>
      <xdr:row>22</xdr:row>
      <xdr:rowOff>105840</xdr:rowOff>
    </xdr:to>
    <xdr:graphicFrame>
      <xdr:nvGraphicFramePr>
        <xdr:cNvPr id="0" name="Chart 1"/>
        <xdr:cNvGraphicFramePr/>
      </xdr:nvGraphicFramePr>
      <xdr:xfrm>
        <a:off x="0" y="24764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8"/>
    <col collapsed="false" customWidth="true" hidden="false" outlineLevel="0" max="6" min="3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33.7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33.7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33.7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33.7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33.7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9" customFormat="false" ht="16.15" hidden="false" customHeight="false" outlineLevel="0" collapsed="false">
      <c r="A9" s="4" t="s">
        <v>11</v>
      </c>
      <c r="B9" s="4"/>
      <c r="C9" s="4"/>
      <c r="D9" s="4"/>
      <c r="E9" s="4"/>
      <c r="F9" s="4"/>
    </row>
    <row r="10" customFormat="false" ht="33.75" hidden="false" customHeight="true" outlineLevel="0" collapsed="false">
      <c r="A10" s="3" t="s">
        <v>12</v>
      </c>
      <c r="B10" s="3" t="s">
        <v>13</v>
      </c>
      <c r="C10" s="3"/>
      <c r="D10" s="3"/>
      <c r="E10" s="3"/>
      <c r="F10" s="3"/>
    </row>
    <row r="11" customFormat="false" ht="33.75" hidden="false" customHeight="true" outlineLevel="0" collapsed="false">
      <c r="A11" s="3" t="s">
        <v>14</v>
      </c>
      <c r="B11" s="3" t="s">
        <v>15</v>
      </c>
      <c r="C11" s="3"/>
      <c r="D11" s="3"/>
      <c r="E11" s="3"/>
      <c r="F11" s="3"/>
    </row>
    <row r="12" customFormat="false" ht="33.75" hidden="false" customHeight="true" outlineLevel="0" collapsed="false">
      <c r="A12" s="3" t="s">
        <v>16</v>
      </c>
      <c r="B12" s="3" t="s">
        <v>17</v>
      </c>
      <c r="C12" s="3"/>
      <c r="D12" s="3"/>
      <c r="E12" s="3"/>
      <c r="F12" s="3"/>
    </row>
    <row r="13" customFormat="false" ht="33.75" hidden="false" customHeight="true" outlineLevel="0" collapsed="false">
      <c r="A13" s="3" t="s">
        <v>18</v>
      </c>
      <c r="B13" s="3" t="s">
        <v>19</v>
      </c>
      <c r="C13" s="3"/>
      <c r="D13" s="3"/>
      <c r="E13" s="3"/>
      <c r="F13" s="3"/>
    </row>
    <row r="14" customFormat="false" ht="33.75" hidden="false" customHeight="true" outlineLevel="0" collapsed="false">
      <c r="A14" s="3" t="s">
        <v>20</v>
      </c>
      <c r="B14" s="3" t="s">
        <v>21</v>
      </c>
      <c r="C14" s="3"/>
      <c r="D14" s="3"/>
      <c r="E14" s="3"/>
      <c r="F14" s="3"/>
    </row>
    <row r="15" customFormat="false" ht="33.75" hidden="false" customHeight="true" outlineLevel="0" collapsed="false">
      <c r="A15" s="3" t="s">
        <v>22</v>
      </c>
      <c r="B15" s="3" t="s">
        <v>23</v>
      </c>
      <c r="C15" s="3"/>
      <c r="D15" s="3"/>
      <c r="E15" s="3"/>
      <c r="F15" s="3"/>
    </row>
    <row r="18" customFormat="false" ht="15" hidden="false" customHeight="true" outlineLevel="0" collapsed="false">
      <c r="A18" s="5" t="s">
        <v>24</v>
      </c>
      <c r="B18" s="5" t="s">
        <v>25</v>
      </c>
      <c r="C18" s="5" t="s">
        <v>26</v>
      </c>
      <c r="D18" s="5"/>
      <c r="E18" s="5"/>
      <c r="F18" s="5"/>
    </row>
    <row r="19" customFormat="false" ht="33.75" hidden="false" customHeight="true" outlineLevel="0" collapsed="false">
      <c r="A19" s="3" t="s">
        <v>27</v>
      </c>
      <c r="B19" s="3" t="s">
        <v>28</v>
      </c>
      <c r="C19" s="3" t="s">
        <v>29</v>
      </c>
      <c r="D19" s="3"/>
      <c r="E19" s="3"/>
      <c r="F19" s="3"/>
    </row>
    <row r="20" customFormat="false" ht="33.75" hidden="false" customHeight="true" outlineLevel="0" collapsed="false">
      <c r="A20" s="3" t="s">
        <v>30</v>
      </c>
      <c r="B20" s="3" t="s">
        <v>31</v>
      </c>
      <c r="C20" s="3" t="s">
        <v>32</v>
      </c>
      <c r="D20" s="3"/>
      <c r="E20" s="3"/>
      <c r="F20" s="3"/>
    </row>
    <row r="21" customFormat="false" ht="33.75" hidden="false" customHeight="true" outlineLevel="0" collapsed="false">
      <c r="A21" s="3" t="s">
        <v>33</v>
      </c>
      <c r="B21" s="3" t="s">
        <v>34</v>
      </c>
      <c r="C21" s="3" t="s">
        <v>35</v>
      </c>
      <c r="D21" s="3"/>
      <c r="E21" s="3"/>
      <c r="F21" s="3"/>
    </row>
    <row r="22" customFormat="false" ht="33.75" hidden="false" customHeight="true" outlineLevel="0" collapsed="false">
      <c r="A22" s="3" t="s">
        <v>36</v>
      </c>
      <c r="B22" s="3" t="s">
        <v>37</v>
      </c>
      <c r="C22" s="3" t="s">
        <v>38</v>
      </c>
      <c r="D22" s="3"/>
      <c r="E22" s="3"/>
      <c r="F22" s="3"/>
    </row>
    <row r="25" customFormat="false" ht="16.15" hidden="false" customHeight="false" outlineLevel="0" collapsed="false">
      <c r="A25" s="4" t="s">
        <v>39</v>
      </c>
      <c r="B25" s="4"/>
      <c r="C25" s="4"/>
      <c r="D25" s="4"/>
      <c r="E25" s="4"/>
      <c r="F25" s="4"/>
    </row>
    <row r="26" customFormat="false" ht="15" hidden="false" customHeight="true" outlineLevel="0" collapsed="false">
      <c r="A26" s="3" t="s">
        <v>40</v>
      </c>
      <c r="B26" s="3" t="s">
        <v>41</v>
      </c>
      <c r="C26" s="3"/>
      <c r="D26" s="3"/>
      <c r="E26" s="3"/>
      <c r="F26" s="3"/>
    </row>
    <row r="27" customFormat="false" ht="15" hidden="false" customHeight="true" outlineLevel="0" collapsed="false">
      <c r="A27" s="3" t="s">
        <v>40</v>
      </c>
      <c r="B27" s="3" t="s">
        <v>42</v>
      </c>
      <c r="C27" s="3"/>
      <c r="D27" s="3"/>
      <c r="E27" s="3"/>
      <c r="F27" s="3"/>
    </row>
    <row r="28" customFormat="false" ht="15" hidden="false" customHeight="true" outlineLevel="0" collapsed="false">
      <c r="A28" s="3" t="s">
        <v>40</v>
      </c>
      <c r="B28" s="3" t="s">
        <v>43</v>
      </c>
      <c r="C28" s="3"/>
      <c r="D28" s="3"/>
      <c r="E28" s="3"/>
      <c r="F28" s="3"/>
    </row>
    <row r="29" customFormat="false" ht="15" hidden="false" customHeight="true" outlineLevel="0" collapsed="false">
      <c r="A29" s="3" t="s">
        <v>40</v>
      </c>
      <c r="B29" s="3" t="s">
        <v>44</v>
      </c>
      <c r="C29" s="3"/>
      <c r="D29" s="3"/>
      <c r="E29" s="3"/>
      <c r="F29" s="3"/>
    </row>
  </sheetData>
  <mergeCells count="23">
    <mergeCell ref="A1:F1"/>
    <mergeCell ref="B3:F3"/>
    <mergeCell ref="B4:F4"/>
    <mergeCell ref="B5:F5"/>
    <mergeCell ref="B6:F6"/>
    <mergeCell ref="B7:F7"/>
    <mergeCell ref="A9:F9"/>
    <mergeCell ref="B10:F10"/>
    <mergeCell ref="B11:F11"/>
    <mergeCell ref="B12:F12"/>
    <mergeCell ref="B13:F13"/>
    <mergeCell ref="B14:F14"/>
    <mergeCell ref="B15:F15"/>
    <mergeCell ref="C18:F18"/>
    <mergeCell ref="C19:F19"/>
    <mergeCell ref="C20:F20"/>
    <mergeCell ref="C21:F21"/>
    <mergeCell ref="C22:F22"/>
    <mergeCell ref="A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45</v>
      </c>
      <c r="B1" s="6"/>
      <c r="C1" s="6"/>
      <c r="D1" s="6"/>
    </row>
    <row r="3" customFormat="false" ht="15" hidden="false" customHeight="false" outlineLevel="0" collapsed="false">
      <c r="A3" s="7" t="s">
        <v>46</v>
      </c>
      <c r="B3" s="7" t="s">
        <v>47</v>
      </c>
      <c r="C3" s="7" t="s">
        <v>48</v>
      </c>
      <c r="D3" s="7" t="s">
        <v>49</v>
      </c>
    </row>
    <row r="4" customFormat="false" ht="15" hidden="false" customHeight="false" outlineLevel="0" collapsed="false">
      <c r="A4" s="8" t="s">
        <v>50</v>
      </c>
      <c r="B4" s="8" t="s">
        <v>51</v>
      </c>
      <c r="C4" s="8" t="s">
        <v>52</v>
      </c>
      <c r="D4" s="8" t="s">
        <v>53</v>
      </c>
    </row>
    <row r="5" customFormat="false" ht="15" hidden="false" customHeight="false" outlineLevel="0" collapsed="false">
      <c r="A5" s="8" t="s">
        <v>50</v>
      </c>
      <c r="B5" s="8" t="s">
        <v>54</v>
      </c>
      <c r="C5" s="8" t="s">
        <v>55</v>
      </c>
      <c r="D5" s="8" t="s">
        <v>56</v>
      </c>
    </row>
    <row r="6" customFormat="false" ht="15" hidden="false" customHeight="false" outlineLevel="0" collapsed="false">
      <c r="A6" s="8" t="s">
        <v>50</v>
      </c>
      <c r="B6" s="8" t="s">
        <v>57</v>
      </c>
      <c r="C6" s="8" t="s">
        <v>58</v>
      </c>
      <c r="D6" s="8" t="s">
        <v>59</v>
      </c>
    </row>
    <row r="7" customFormat="false" ht="15" hidden="false" customHeight="false" outlineLevel="0" collapsed="false">
      <c r="A7" s="8" t="s">
        <v>50</v>
      </c>
      <c r="B7" s="8" t="s">
        <v>60</v>
      </c>
      <c r="C7" s="8" t="s">
        <v>61</v>
      </c>
      <c r="D7" s="8" t="s">
        <v>62</v>
      </c>
    </row>
    <row r="8" customFormat="false" ht="28.35" hidden="false" customHeight="false" outlineLevel="0" collapsed="false">
      <c r="A8" s="8" t="s">
        <v>50</v>
      </c>
      <c r="B8" s="8" t="s">
        <v>63</v>
      </c>
      <c r="C8" s="8" t="s">
        <v>64</v>
      </c>
      <c r="D8" s="8" t="s">
        <v>65</v>
      </c>
    </row>
    <row r="9" customFormat="false" ht="15" hidden="false" customHeight="false" outlineLevel="0" collapsed="false">
      <c r="A9" s="8" t="s">
        <v>50</v>
      </c>
      <c r="B9" s="8" t="s">
        <v>66</v>
      </c>
      <c r="C9" s="8" t="s">
        <v>67</v>
      </c>
      <c r="D9" s="8" t="s">
        <v>68</v>
      </c>
    </row>
    <row r="10" customFormat="false" ht="15" hidden="false" customHeight="false" outlineLevel="0" collapsed="false">
      <c r="A10" s="8" t="s">
        <v>69</v>
      </c>
      <c r="B10" s="8" t="s">
        <v>70</v>
      </c>
      <c r="C10" s="8" t="s">
        <v>71</v>
      </c>
      <c r="D10" s="8" t="s">
        <v>72</v>
      </c>
    </row>
    <row r="11" customFormat="false" ht="15" hidden="false" customHeight="false" outlineLevel="0" collapsed="false">
      <c r="A11" s="8" t="s">
        <v>69</v>
      </c>
      <c r="B11" s="8" t="s">
        <v>73</v>
      </c>
      <c r="C11" s="8" t="s">
        <v>74</v>
      </c>
      <c r="D11" s="8" t="s">
        <v>75</v>
      </c>
    </row>
    <row r="12" customFormat="false" ht="15" hidden="false" customHeight="false" outlineLevel="0" collapsed="false">
      <c r="A12" s="8" t="s">
        <v>76</v>
      </c>
      <c r="B12" s="8" t="s">
        <v>77</v>
      </c>
      <c r="C12" s="8" t="s">
        <v>78</v>
      </c>
      <c r="D12" s="8" t="s">
        <v>79</v>
      </c>
    </row>
    <row r="13" customFormat="false" ht="15" hidden="false" customHeight="false" outlineLevel="0" collapsed="false">
      <c r="A13" s="8" t="s">
        <v>76</v>
      </c>
      <c r="B13" s="8" t="s">
        <v>80</v>
      </c>
      <c r="C13" s="8" t="s">
        <v>78</v>
      </c>
      <c r="D13" s="8" t="s">
        <v>81</v>
      </c>
    </row>
    <row r="14" customFormat="false" ht="15" hidden="false" customHeight="false" outlineLevel="0" collapsed="false">
      <c r="A14" s="8" t="s">
        <v>76</v>
      </c>
      <c r="B14" s="8" t="s">
        <v>82</v>
      </c>
      <c r="C14" s="8" t="s">
        <v>83</v>
      </c>
      <c r="D14" s="8" t="s">
        <v>84</v>
      </c>
    </row>
    <row r="15" customFormat="false" ht="15" hidden="false" customHeight="false" outlineLevel="0" collapsed="false">
      <c r="A15" s="8" t="s">
        <v>85</v>
      </c>
      <c r="B15" s="8" t="s">
        <v>86</v>
      </c>
      <c r="C15" s="8" t="s">
        <v>87</v>
      </c>
      <c r="D15" s="8" t="s">
        <v>88</v>
      </c>
    </row>
    <row r="16" customFormat="false" ht="28.35" hidden="false" customHeight="false" outlineLevel="0" collapsed="false">
      <c r="A16" s="8" t="s">
        <v>89</v>
      </c>
      <c r="B16" s="8" t="s">
        <v>90</v>
      </c>
      <c r="C16" s="8" t="s">
        <v>91</v>
      </c>
      <c r="D16" s="8" t="s">
        <v>92</v>
      </c>
    </row>
    <row r="17" customFormat="false" ht="15" hidden="false" customHeight="false" outlineLevel="0" collapsed="false">
      <c r="A17" s="8" t="s">
        <v>89</v>
      </c>
      <c r="B17" s="8" t="s">
        <v>93</v>
      </c>
      <c r="C17" s="8" t="s">
        <v>94</v>
      </c>
      <c r="D17" s="8" t="s">
        <v>95</v>
      </c>
    </row>
    <row r="18" customFormat="false" ht="15" hidden="false" customHeight="false" outlineLevel="0" collapsed="false">
      <c r="A18" s="8" t="s">
        <v>96</v>
      </c>
      <c r="B18" s="8" t="s">
        <v>97</v>
      </c>
      <c r="C18" s="8" t="s">
        <v>98</v>
      </c>
      <c r="D18" s="8" t="s">
        <v>99</v>
      </c>
    </row>
    <row r="19" customFormat="false" ht="41.75" hidden="false" customHeight="false" outlineLevel="0" collapsed="false">
      <c r="A19" s="8" t="s">
        <v>100</v>
      </c>
      <c r="B19" s="8" t="s">
        <v>101</v>
      </c>
      <c r="C19" s="8" t="s">
        <v>102</v>
      </c>
      <c r="D19" s="8" t="s">
        <v>103</v>
      </c>
    </row>
    <row r="20" customFormat="false" ht="15" hidden="false" customHeight="false" outlineLevel="0" collapsed="false">
      <c r="A20" s="8" t="s">
        <v>104</v>
      </c>
      <c r="B20" s="8" t="s">
        <v>105</v>
      </c>
      <c r="C20" s="8" t="s">
        <v>106</v>
      </c>
      <c r="D20" s="8" t="s">
        <v>107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65"/>
  </cols>
  <sheetData>
    <row r="1" customFormat="false" ht="30" hidden="false" customHeight="true" outlineLevel="0" collapsed="false">
      <c r="A1" s="1" t="s">
        <v>108</v>
      </c>
      <c r="B1" s="1"/>
      <c r="C1" s="1"/>
      <c r="D1" s="1"/>
      <c r="E1" s="1"/>
    </row>
    <row r="3" customFormat="false" ht="15" hidden="false" customHeight="false" outlineLevel="0" collapsed="false">
      <c r="A3" s="5" t="s">
        <v>109</v>
      </c>
      <c r="B3" s="5" t="s">
        <v>110</v>
      </c>
      <c r="C3" s="5" t="s">
        <v>111</v>
      </c>
      <c r="D3" s="5" t="s">
        <v>112</v>
      </c>
      <c r="E3" s="5" t="s">
        <v>113</v>
      </c>
    </row>
    <row r="4" customFormat="false" ht="15" hidden="false" customHeight="false" outlineLevel="0" collapsed="false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118</v>
      </c>
    </row>
    <row r="5" customFormat="false" ht="15" hidden="false" customHeight="false" outlineLevel="0" collapsed="false">
      <c r="A5" s="3" t="s">
        <v>119</v>
      </c>
      <c r="B5" s="3" t="s">
        <v>120</v>
      </c>
      <c r="C5" s="3" t="s">
        <v>116</v>
      </c>
      <c r="D5" s="3" t="s">
        <v>117</v>
      </c>
      <c r="E5" s="3" t="s">
        <v>121</v>
      </c>
    </row>
    <row r="6" customFormat="false" ht="15" hidden="false" customHeight="false" outlineLevel="0" collapsed="false">
      <c r="A6" s="3" t="s">
        <v>122</v>
      </c>
      <c r="B6" s="3" t="s">
        <v>123</v>
      </c>
      <c r="C6" s="3" t="s">
        <v>116</v>
      </c>
      <c r="D6" s="3" t="s">
        <v>117</v>
      </c>
      <c r="E6" s="3" t="s">
        <v>124</v>
      </c>
    </row>
    <row r="7" customFormat="false" ht="28.35" hidden="false" customHeight="false" outlineLevel="0" collapsed="false">
      <c r="A7" s="3" t="s">
        <v>125</v>
      </c>
      <c r="B7" s="3" t="s">
        <v>126</v>
      </c>
      <c r="C7" s="3" t="s">
        <v>116</v>
      </c>
      <c r="D7" s="3" t="s">
        <v>117</v>
      </c>
      <c r="E7" s="3" t="s">
        <v>127</v>
      </c>
    </row>
    <row r="8" customFormat="false" ht="15" hidden="false" customHeight="false" outlineLevel="0" collapsed="false">
      <c r="A8" s="3" t="s">
        <v>128</v>
      </c>
      <c r="B8" s="3" t="s">
        <v>129</v>
      </c>
      <c r="C8" s="3" t="s">
        <v>116</v>
      </c>
      <c r="D8" s="3" t="s">
        <v>117</v>
      </c>
      <c r="E8" s="3" t="s">
        <v>130</v>
      </c>
    </row>
    <row r="9" customFormat="false" ht="28.35" hidden="false" customHeight="false" outlineLevel="0" collapsed="false">
      <c r="A9" s="3" t="s">
        <v>131</v>
      </c>
      <c r="B9" s="3" t="s">
        <v>132</v>
      </c>
      <c r="C9" s="3" t="s">
        <v>116</v>
      </c>
      <c r="D9" s="3" t="s">
        <v>117</v>
      </c>
      <c r="E9" s="3" t="s">
        <v>133</v>
      </c>
    </row>
    <row r="10" customFormat="false" ht="15" hidden="false" customHeight="false" outlineLevel="0" collapsed="false">
      <c r="A10" s="3" t="s">
        <v>134</v>
      </c>
      <c r="B10" s="3" t="s">
        <v>135</v>
      </c>
      <c r="C10" s="3" t="s">
        <v>136</v>
      </c>
      <c r="D10" s="3" t="s">
        <v>117</v>
      </c>
      <c r="E10" s="3" t="s">
        <v>137</v>
      </c>
    </row>
    <row r="11" customFormat="false" ht="15" hidden="false" customHeight="false" outlineLevel="0" collapsed="false">
      <c r="A11" s="3" t="s">
        <v>138</v>
      </c>
      <c r="B11" s="3" t="s">
        <v>123</v>
      </c>
      <c r="C11" s="3" t="s">
        <v>116</v>
      </c>
      <c r="D11" s="3" t="s">
        <v>117</v>
      </c>
      <c r="E11" s="3" t="s">
        <v>139</v>
      </c>
    </row>
    <row r="12" customFormat="false" ht="15" hidden="false" customHeight="false" outlineLevel="0" collapsed="false">
      <c r="A12" s="3" t="s">
        <v>140</v>
      </c>
      <c r="B12" s="3" t="s">
        <v>141</v>
      </c>
      <c r="C12" s="3" t="s">
        <v>116</v>
      </c>
      <c r="D12" s="3" t="s">
        <v>117</v>
      </c>
      <c r="E12" s="3" t="s">
        <v>142</v>
      </c>
    </row>
    <row r="13" customFormat="false" ht="15" hidden="false" customHeight="false" outlineLevel="0" collapsed="false">
      <c r="A13" s="3" t="s">
        <v>143</v>
      </c>
      <c r="B13" s="3" t="s">
        <v>123</v>
      </c>
      <c r="C13" s="3" t="s">
        <v>116</v>
      </c>
      <c r="D13" s="3" t="s">
        <v>117</v>
      </c>
      <c r="E13" s="3" t="s">
        <v>144</v>
      </c>
    </row>
    <row r="14" customFormat="false" ht="28.35" hidden="false" customHeight="false" outlineLevel="0" collapsed="false">
      <c r="A14" s="3" t="s">
        <v>145</v>
      </c>
      <c r="B14" s="3" t="s">
        <v>146</v>
      </c>
      <c r="C14" s="3" t="s">
        <v>116</v>
      </c>
      <c r="D14" s="3" t="s">
        <v>147</v>
      </c>
      <c r="E14" s="3" t="s">
        <v>148</v>
      </c>
    </row>
    <row r="15" customFormat="false" ht="15" hidden="false" customHeight="false" outlineLevel="0" collapsed="false">
      <c r="A15" s="3" t="s">
        <v>149</v>
      </c>
      <c r="B15" s="3" t="s">
        <v>150</v>
      </c>
      <c r="C15" s="3" t="s">
        <v>151</v>
      </c>
      <c r="D15" s="3" t="s">
        <v>147</v>
      </c>
      <c r="E15" s="3" t="s">
        <v>152</v>
      </c>
    </row>
    <row r="16" customFormat="false" ht="15" hidden="false" customHeight="false" outlineLevel="0" collapsed="false">
      <c r="A16" s="3" t="s">
        <v>153</v>
      </c>
      <c r="B16" s="3" t="s">
        <v>154</v>
      </c>
      <c r="C16" s="3" t="s">
        <v>151</v>
      </c>
      <c r="D16" s="3" t="s">
        <v>147</v>
      </c>
      <c r="E16" s="3" t="s">
        <v>155</v>
      </c>
    </row>
    <row r="17" customFormat="false" ht="15" hidden="false" customHeight="false" outlineLevel="0" collapsed="false">
      <c r="A17" s="3" t="s">
        <v>156</v>
      </c>
      <c r="B17" s="3" t="s">
        <v>157</v>
      </c>
      <c r="C17" s="3" t="s">
        <v>151</v>
      </c>
      <c r="D17" s="3" t="s">
        <v>147</v>
      </c>
      <c r="E17" s="3" t="s">
        <v>158</v>
      </c>
    </row>
    <row r="18" customFormat="false" ht="15" hidden="false" customHeight="false" outlineLevel="0" collapsed="false">
      <c r="A18" s="3" t="s">
        <v>159</v>
      </c>
      <c r="B18" s="3" t="s">
        <v>160</v>
      </c>
      <c r="C18" s="3" t="s">
        <v>116</v>
      </c>
      <c r="D18" s="3" t="s">
        <v>69</v>
      </c>
      <c r="E18" s="3" t="s">
        <v>161</v>
      </c>
    </row>
    <row r="19" customFormat="false" ht="28.35" hidden="false" customHeight="false" outlineLevel="0" collapsed="false">
      <c r="A19" s="3" t="s">
        <v>162</v>
      </c>
      <c r="B19" s="3" t="s">
        <v>163</v>
      </c>
      <c r="C19" s="3" t="s">
        <v>164</v>
      </c>
      <c r="D19" s="3" t="s">
        <v>69</v>
      </c>
      <c r="E19" s="3" t="s">
        <v>165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6" min="5" style="0" width="22"/>
    <col collapsed="false" customWidth="true" hidden="false" outlineLevel="0" max="8" min="7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28"/>
    <col collapsed="false" customWidth="true" hidden="false" outlineLevel="0" max="13" min="13" style="0" width="48"/>
    <col collapsed="false" customWidth="true" hidden="false" outlineLevel="0" max="14" min="14" style="0" width="17"/>
    <col collapsed="false" customWidth="true" hidden="false" outlineLevel="0" max="15" min="15" style="0" width="14"/>
    <col collapsed="false" customWidth="true" hidden="false" outlineLevel="0" max="16" min="16" style="0" width="36"/>
  </cols>
  <sheetData>
    <row r="1" customFormat="false" ht="30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5" t="s">
        <v>167</v>
      </c>
      <c r="B3" s="5" t="s">
        <v>168</v>
      </c>
      <c r="C3" s="5" t="s">
        <v>169</v>
      </c>
      <c r="D3" s="5" t="s">
        <v>47</v>
      </c>
      <c r="E3" s="5" t="s">
        <v>170</v>
      </c>
      <c r="F3" s="5" t="s">
        <v>171</v>
      </c>
      <c r="G3" s="5" t="s">
        <v>172</v>
      </c>
      <c r="H3" s="5" t="s">
        <v>173</v>
      </c>
      <c r="I3" s="5" t="s">
        <v>174</v>
      </c>
      <c r="J3" s="5" t="s">
        <v>112</v>
      </c>
      <c r="K3" s="5" t="s">
        <v>175</v>
      </c>
      <c r="L3" s="5" t="s">
        <v>176</v>
      </c>
      <c r="M3" s="5" t="s">
        <v>177</v>
      </c>
      <c r="N3" s="5" t="s">
        <v>178</v>
      </c>
      <c r="O3" s="5" t="s">
        <v>179</v>
      </c>
      <c r="P3" s="5" t="s">
        <v>98</v>
      </c>
    </row>
    <row r="4" customFormat="false" ht="55.2" hidden="false" customHeight="false" outlineLevel="0" collapsed="false">
      <c r="A4" s="3" t="s">
        <v>180</v>
      </c>
      <c r="B4" s="3" t="s">
        <v>181</v>
      </c>
      <c r="C4" s="3" t="s">
        <v>100</v>
      </c>
      <c r="D4" s="3" t="s">
        <v>182</v>
      </c>
      <c r="E4" s="3" t="s">
        <v>27</v>
      </c>
      <c r="F4" s="3" t="s">
        <v>183</v>
      </c>
      <c r="G4" s="3" t="n">
        <v>1</v>
      </c>
      <c r="H4" s="3" t="n">
        <v>1</v>
      </c>
      <c r="I4" s="3" t="n">
        <v>4</v>
      </c>
      <c r="J4" s="3" t="s">
        <v>117</v>
      </c>
      <c r="K4" s="3"/>
      <c r="L4" s="3" t="s">
        <v>184</v>
      </c>
      <c r="M4" s="3" t="s">
        <v>185</v>
      </c>
      <c r="N4" s="3" t="s">
        <v>186</v>
      </c>
      <c r="O4" s="9" t="n">
        <v>0.8</v>
      </c>
      <c r="P4" s="10" t="s">
        <v>187</v>
      </c>
    </row>
    <row r="5" customFormat="false" ht="41.75" hidden="false" customHeight="false" outlineLevel="0" collapsed="false">
      <c r="A5" s="3" t="s">
        <v>188</v>
      </c>
      <c r="B5" s="3" t="s">
        <v>181</v>
      </c>
      <c r="C5" s="3" t="s">
        <v>189</v>
      </c>
      <c r="D5" s="3" t="s">
        <v>190</v>
      </c>
      <c r="E5" s="3" t="s">
        <v>30</v>
      </c>
      <c r="F5" s="3" t="s">
        <v>27</v>
      </c>
      <c r="G5" s="3" t="n">
        <v>1</v>
      </c>
      <c r="H5" s="3" t="n">
        <v>1</v>
      </c>
      <c r="I5" s="3" t="n">
        <v>4</v>
      </c>
      <c r="J5" s="3" t="s">
        <v>117</v>
      </c>
      <c r="K5" s="3" t="s">
        <v>180</v>
      </c>
      <c r="L5" s="3" t="s">
        <v>191</v>
      </c>
      <c r="M5" s="3" t="s">
        <v>192</v>
      </c>
      <c r="N5" s="3" t="s">
        <v>186</v>
      </c>
      <c r="O5" s="9" t="n">
        <v>0.7</v>
      </c>
      <c r="P5" s="10" t="s">
        <v>193</v>
      </c>
    </row>
    <row r="6" customFormat="false" ht="41.75" hidden="false" customHeight="false" outlineLevel="0" collapsed="false">
      <c r="A6" s="3" t="s">
        <v>194</v>
      </c>
      <c r="B6" s="3" t="s">
        <v>181</v>
      </c>
      <c r="C6" s="3" t="s">
        <v>195</v>
      </c>
      <c r="D6" s="3" t="s">
        <v>196</v>
      </c>
      <c r="E6" s="3" t="s">
        <v>33</v>
      </c>
      <c r="F6" s="3" t="s">
        <v>30</v>
      </c>
      <c r="G6" s="3" t="n">
        <v>1</v>
      </c>
      <c r="H6" s="3" t="n">
        <v>1</v>
      </c>
      <c r="I6" s="3" t="n">
        <v>6</v>
      </c>
      <c r="J6" s="3" t="s">
        <v>117</v>
      </c>
      <c r="K6" s="3" t="s">
        <v>180</v>
      </c>
      <c r="L6" s="3" t="s">
        <v>197</v>
      </c>
      <c r="M6" s="3" t="s">
        <v>198</v>
      </c>
      <c r="N6" s="3" t="s">
        <v>199</v>
      </c>
      <c r="O6" s="9" t="n">
        <v>0</v>
      </c>
      <c r="P6" s="10" t="s">
        <v>200</v>
      </c>
    </row>
    <row r="7" customFormat="false" ht="41.75" hidden="false" customHeight="false" outlineLevel="0" collapsed="false">
      <c r="A7" s="3" t="s">
        <v>201</v>
      </c>
      <c r="B7" s="3" t="s">
        <v>181</v>
      </c>
      <c r="C7" s="3" t="s">
        <v>202</v>
      </c>
      <c r="D7" s="3" t="s">
        <v>203</v>
      </c>
      <c r="E7" s="3" t="s">
        <v>36</v>
      </c>
      <c r="F7" s="3" t="s">
        <v>27</v>
      </c>
      <c r="G7" s="3" t="n">
        <v>1</v>
      </c>
      <c r="H7" s="3" t="n">
        <v>1</v>
      </c>
      <c r="I7" s="3" t="n">
        <v>8</v>
      </c>
      <c r="J7" s="3" t="s">
        <v>117</v>
      </c>
      <c r="K7" s="3" t="s">
        <v>180</v>
      </c>
      <c r="L7" s="3" t="s">
        <v>204</v>
      </c>
      <c r="M7" s="3" t="s">
        <v>205</v>
      </c>
      <c r="N7" s="3" t="s">
        <v>199</v>
      </c>
      <c r="O7" s="9" t="n">
        <v>0</v>
      </c>
      <c r="P7" s="10" t="s">
        <v>206</v>
      </c>
    </row>
    <row r="8" customFormat="false" ht="41.75" hidden="false" customHeight="false" outlineLevel="0" collapsed="false">
      <c r="A8" s="3" t="s">
        <v>207</v>
      </c>
      <c r="B8" s="3" t="s">
        <v>208</v>
      </c>
      <c r="C8" s="3" t="s">
        <v>209</v>
      </c>
      <c r="D8" s="3" t="s">
        <v>210</v>
      </c>
      <c r="E8" s="3" t="s">
        <v>27</v>
      </c>
      <c r="F8" s="3" t="s">
        <v>36</v>
      </c>
      <c r="G8" s="3" t="n">
        <v>1</v>
      </c>
      <c r="H8" s="3" t="n">
        <v>2</v>
      </c>
      <c r="I8" s="3" t="n">
        <v>6</v>
      </c>
      <c r="J8" s="3" t="s">
        <v>117</v>
      </c>
      <c r="K8" s="3" t="s">
        <v>180</v>
      </c>
      <c r="L8" s="3" t="s">
        <v>211</v>
      </c>
      <c r="M8" s="3" t="s">
        <v>212</v>
      </c>
      <c r="N8" s="3" t="s">
        <v>186</v>
      </c>
      <c r="O8" s="9" t="n">
        <v>0.7</v>
      </c>
      <c r="P8" s="10" t="s">
        <v>213</v>
      </c>
    </row>
    <row r="9" customFormat="false" ht="55.2" hidden="false" customHeight="false" outlineLevel="0" collapsed="false">
      <c r="A9" s="3" t="s">
        <v>214</v>
      </c>
      <c r="B9" s="3" t="s">
        <v>208</v>
      </c>
      <c r="C9" s="3" t="s">
        <v>215</v>
      </c>
      <c r="D9" s="3" t="s">
        <v>216</v>
      </c>
      <c r="E9" s="3" t="s">
        <v>30</v>
      </c>
      <c r="F9" s="3" t="s">
        <v>33</v>
      </c>
      <c r="G9" s="3" t="n">
        <v>1</v>
      </c>
      <c r="H9" s="3" t="n">
        <v>2</v>
      </c>
      <c r="I9" s="3" t="n">
        <v>6</v>
      </c>
      <c r="J9" s="3" t="s">
        <v>117</v>
      </c>
      <c r="K9" s="3" t="s">
        <v>180</v>
      </c>
      <c r="L9" s="3" t="s">
        <v>217</v>
      </c>
      <c r="M9" s="3" t="s">
        <v>218</v>
      </c>
      <c r="N9" s="3" t="s">
        <v>186</v>
      </c>
      <c r="O9" s="9" t="n">
        <v>0.7</v>
      </c>
      <c r="P9" s="10" t="s">
        <v>219</v>
      </c>
    </row>
    <row r="10" customFormat="false" ht="28.35" hidden="false" customHeight="false" outlineLevel="0" collapsed="false">
      <c r="A10" s="3" t="s">
        <v>220</v>
      </c>
      <c r="B10" s="3" t="s">
        <v>208</v>
      </c>
      <c r="C10" s="3" t="s">
        <v>195</v>
      </c>
      <c r="D10" s="3" t="s">
        <v>221</v>
      </c>
      <c r="E10" s="3" t="s">
        <v>33</v>
      </c>
      <c r="F10" s="3" t="s">
        <v>30</v>
      </c>
      <c r="G10" s="3" t="n">
        <v>1</v>
      </c>
      <c r="H10" s="3" t="n">
        <v>2</v>
      </c>
      <c r="I10" s="3" t="n">
        <v>6</v>
      </c>
      <c r="J10" s="3" t="s">
        <v>117</v>
      </c>
      <c r="K10" s="3" t="s">
        <v>194</v>
      </c>
      <c r="L10" s="3" t="s">
        <v>222</v>
      </c>
      <c r="M10" s="3" t="s">
        <v>223</v>
      </c>
      <c r="N10" s="3" t="s">
        <v>186</v>
      </c>
      <c r="O10" s="9" t="n">
        <v>0.6</v>
      </c>
      <c r="P10" s="10" t="s">
        <v>200</v>
      </c>
    </row>
    <row r="11" customFormat="false" ht="28.35" hidden="false" customHeight="false" outlineLevel="0" collapsed="false">
      <c r="A11" s="3" t="s">
        <v>224</v>
      </c>
      <c r="B11" s="3" t="s">
        <v>208</v>
      </c>
      <c r="C11" s="3" t="s">
        <v>225</v>
      </c>
      <c r="D11" s="3" t="s">
        <v>226</v>
      </c>
      <c r="E11" s="3" t="s">
        <v>36</v>
      </c>
      <c r="F11" s="3" t="s">
        <v>27</v>
      </c>
      <c r="G11" s="3" t="n">
        <v>1</v>
      </c>
      <c r="H11" s="3" t="n">
        <v>2</v>
      </c>
      <c r="I11" s="3" t="n">
        <v>6</v>
      </c>
      <c r="J11" s="3" t="s">
        <v>117</v>
      </c>
      <c r="K11" s="3" t="s">
        <v>201</v>
      </c>
      <c r="L11" s="3" t="s">
        <v>227</v>
      </c>
      <c r="M11" s="3" t="s">
        <v>228</v>
      </c>
      <c r="N11" s="3" t="s">
        <v>199</v>
      </c>
      <c r="O11" s="9" t="n">
        <v>0</v>
      </c>
      <c r="P11" s="10" t="s">
        <v>229</v>
      </c>
    </row>
    <row r="12" customFormat="false" ht="28.35" hidden="false" customHeight="false" outlineLevel="0" collapsed="false">
      <c r="A12" s="3" t="s">
        <v>230</v>
      </c>
      <c r="B12" s="3" t="s">
        <v>208</v>
      </c>
      <c r="C12" s="3" t="s">
        <v>231</v>
      </c>
      <c r="D12" s="3" t="s">
        <v>232</v>
      </c>
      <c r="E12" s="3" t="s">
        <v>27</v>
      </c>
      <c r="F12" s="3" t="s">
        <v>30</v>
      </c>
      <c r="G12" s="3" t="n">
        <v>1</v>
      </c>
      <c r="H12" s="3" t="n">
        <v>1</v>
      </c>
      <c r="I12" s="3" t="n">
        <v>3</v>
      </c>
      <c r="J12" s="3" t="s">
        <v>117</v>
      </c>
      <c r="K12" s="3" t="s">
        <v>180</v>
      </c>
      <c r="L12" s="3" t="s">
        <v>233</v>
      </c>
      <c r="M12" s="3" t="s">
        <v>234</v>
      </c>
      <c r="N12" s="3" t="s">
        <v>186</v>
      </c>
      <c r="O12" s="9" t="n">
        <v>0.8</v>
      </c>
      <c r="P12" s="10" t="s">
        <v>235</v>
      </c>
    </row>
    <row r="13" customFormat="false" ht="55.2" hidden="false" customHeight="false" outlineLevel="0" collapsed="false">
      <c r="A13" s="3" t="s">
        <v>236</v>
      </c>
      <c r="B13" s="3" t="s">
        <v>181</v>
      </c>
      <c r="C13" s="3" t="s">
        <v>237</v>
      </c>
      <c r="D13" s="3" t="s">
        <v>238</v>
      </c>
      <c r="E13" s="3" t="s">
        <v>27</v>
      </c>
      <c r="F13" s="3" t="s">
        <v>33</v>
      </c>
      <c r="G13" s="3" t="n">
        <v>1</v>
      </c>
      <c r="H13" s="3" t="n">
        <v>2</v>
      </c>
      <c r="I13" s="3" t="n">
        <v>4</v>
      </c>
      <c r="J13" s="3" t="s">
        <v>117</v>
      </c>
      <c r="K13" s="3" t="s">
        <v>180</v>
      </c>
      <c r="L13" s="3" t="s">
        <v>239</v>
      </c>
      <c r="M13" s="3" t="s">
        <v>240</v>
      </c>
      <c r="N13" s="3" t="s">
        <v>199</v>
      </c>
      <c r="O13" s="9" t="n">
        <v>0</v>
      </c>
      <c r="P13" s="10" t="s">
        <v>241</v>
      </c>
    </row>
    <row r="14" customFormat="false" ht="28.35" hidden="false" customHeight="false" outlineLevel="0" collapsed="false">
      <c r="A14" s="3" t="s">
        <v>242</v>
      </c>
      <c r="B14" s="3" t="s">
        <v>208</v>
      </c>
      <c r="C14" s="3" t="s">
        <v>243</v>
      </c>
      <c r="D14" s="3" t="s">
        <v>244</v>
      </c>
      <c r="E14" s="3" t="s">
        <v>30</v>
      </c>
      <c r="F14" s="3" t="s">
        <v>33</v>
      </c>
      <c r="G14" s="3" t="n">
        <v>2</v>
      </c>
      <c r="H14" s="3" t="n">
        <v>2</v>
      </c>
      <c r="I14" s="3" t="n">
        <v>4</v>
      </c>
      <c r="J14" s="3" t="s">
        <v>117</v>
      </c>
      <c r="K14" s="3" t="s">
        <v>214</v>
      </c>
      <c r="L14" s="3" t="s">
        <v>245</v>
      </c>
      <c r="M14" s="3" t="s">
        <v>246</v>
      </c>
      <c r="N14" s="3" t="s">
        <v>186</v>
      </c>
      <c r="O14" s="9" t="n">
        <v>0.6</v>
      </c>
      <c r="P14" s="10" t="s">
        <v>247</v>
      </c>
    </row>
    <row r="15" customFormat="false" ht="41.75" hidden="false" customHeight="false" outlineLevel="0" collapsed="false">
      <c r="A15" s="3" t="s">
        <v>248</v>
      </c>
      <c r="B15" s="3" t="s">
        <v>208</v>
      </c>
      <c r="C15" s="3" t="s">
        <v>249</v>
      </c>
      <c r="D15" s="3" t="s">
        <v>250</v>
      </c>
      <c r="E15" s="3" t="s">
        <v>30</v>
      </c>
      <c r="F15" s="3" t="s">
        <v>27</v>
      </c>
      <c r="G15" s="3" t="n">
        <v>2</v>
      </c>
      <c r="H15" s="3" t="n">
        <v>3</v>
      </c>
      <c r="I15" s="3" t="n">
        <v>8</v>
      </c>
      <c r="J15" s="3" t="s">
        <v>117</v>
      </c>
      <c r="K15" s="3" t="s">
        <v>251</v>
      </c>
      <c r="L15" s="3" t="s">
        <v>252</v>
      </c>
      <c r="M15" s="3" t="s">
        <v>253</v>
      </c>
      <c r="N15" s="3" t="s">
        <v>186</v>
      </c>
      <c r="O15" s="9" t="n">
        <v>0.5</v>
      </c>
      <c r="P15" s="10" t="s">
        <v>254</v>
      </c>
    </row>
    <row r="16" customFormat="false" ht="28.35" hidden="false" customHeight="false" outlineLevel="0" collapsed="false">
      <c r="A16" s="3" t="s">
        <v>255</v>
      </c>
      <c r="B16" s="3" t="s">
        <v>208</v>
      </c>
      <c r="C16" s="3" t="s">
        <v>249</v>
      </c>
      <c r="D16" s="3" t="s">
        <v>256</v>
      </c>
      <c r="E16" s="3" t="s">
        <v>27</v>
      </c>
      <c r="F16" s="3" t="s">
        <v>30</v>
      </c>
      <c r="G16" s="3" t="n">
        <v>2</v>
      </c>
      <c r="H16" s="3" t="n">
        <v>3</v>
      </c>
      <c r="I16" s="3" t="n">
        <v>8</v>
      </c>
      <c r="J16" s="3" t="s">
        <v>117</v>
      </c>
      <c r="K16" s="3" t="s">
        <v>257</v>
      </c>
      <c r="L16" s="3" t="s">
        <v>258</v>
      </c>
      <c r="M16" s="3" t="s">
        <v>259</v>
      </c>
      <c r="N16" s="3" t="s">
        <v>186</v>
      </c>
      <c r="O16" s="9" t="n">
        <v>0.5</v>
      </c>
      <c r="P16" s="10" t="s">
        <v>260</v>
      </c>
    </row>
    <row r="17" customFormat="false" ht="55.2" hidden="false" customHeight="false" outlineLevel="0" collapsed="false">
      <c r="A17" s="3" t="s">
        <v>261</v>
      </c>
      <c r="B17" s="3" t="s">
        <v>208</v>
      </c>
      <c r="C17" s="3" t="s">
        <v>262</v>
      </c>
      <c r="D17" s="3" t="s">
        <v>263</v>
      </c>
      <c r="E17" s="3" t="s">
        <v>33</v>
      </c>
      <c r="F17" s="3" t="s">
        <v>30</v>
      </c>
      <c r="G17" s="3" t="n">
        <v>2</v>
      </c>
      <c r="H17" s="3" t="n">
        <v>3</v>
      </c>
      <c r="I17" s="3" t="n">
        <v>8</v>
      </c>
      <c r="J17" s="3" t="s">
        <v>117</v>
      </c>
      <c r="K17" s="3" t="s">
        <v>264</v>
      </c>
      <c r="L17" s="3" t="s">
        <v>265</v>
      </c>
      <c r="M17" s="3" t="s">
        <v>266</v>
      </c>
      <c r="N17" s="3" t="s">
        <v>186</v>
      </c>
      <c r="O17" s="9" t="n">
        <v>0.5</v>
      </c>
      <c r="P17" s="10" t="s">
        <v>267</v>
      </c>
    </row>
    <row r="18" customFormat="false" ht="41.75" hidden="false" customHeight="false" outlineLevel="0" collapsed="false">
      <c r="A18" s="3" t="s">
        <v>268</v>
      </c>
      <c r="B18" s="3" t="s">
        <v>208</v>
      </c>
      <c r="C18" s="3" t="s">
        <v>269</v>
      </c>
      <c r="D18" s="3" t="s">
        <v>270</v>
      </c>
      <c r="E18" s="3" t="s">
        <v>36</v>
      </c>
      <c r="F18" s="3" t="s">
        <v>27</v>
      </c>
      <c r="G18" s="3" t="n">
        <v>2</v>
      </c>
      <c r="H18" s="3" t="n">
        <v>3</v>
      </c>
      <c r="I18" s="3" t="n">
        <v>8</v>
      </c>
      <c r="J18" s="3" t="s">
        <v>117</v>
      </c>
      <c r="K18" s="3" t="s">
        <v>271</v>
      </c>
      <c r="L18" s="3" t="s">
        <v>272</v>
      </c>
      <c r="M18" s="3" t="s">
        <v>273</v>
      </c>
      <c r="N18" s="3" t="s">
        <v>186</v>
      </c>
      <c r="O18" s="9" t="n">
        <v>0.3</v>
      </c>
      <c r="P18" s="10" t="s">
        <v>274</v>
      </c>
    </row>
    <row r="19" customFormat="false" ht="41.75" hidden="false" customHeight="false" outlineLevel="0" collapsed="false">
      <c r="A19" s="3" t="s">
        <v>51</v>
      </c>
      <c r="B19" s="3" t="s">
        <v>208</v>
      </c>
      <c r="C19" s="3" t="s">
        <v>249</v>
      </c>
      <c r="D19" s="3" t="s">
        <v>275</v>
      </c>
      <c r="E19" s="3" t="s">
        <v>30</v>
      </c>
      <c r="F19" s="3" t="s">
        <v>36</v>
      </c>
      <c r="G19" s="3" t="n">
        <v>3</v>
      </c>
      <c r="H19" s="3" t="n">
        <v>3</v>
      </c>
      <c r="I19" s="3" t="n">
        <v>4</v>
      </c>
      <c r="J19" s="3" t="s">
        <v>117</v>
      </c>
      <c r="K19" s="3" t="s">
        <v>242</v>
      </c>
      <c r="L19" s="3" t="s">
        <v>276</v>
      </c>
      <c r="M19" s="3" t="s">
        <v>277</v>
      </c>
      <c r="N19" s="3" t="s">
        <v>186</v>
      </c>
      <c r="O19" s="9" t="n">
        <v>0.6</v>
      </c>
      <c r="P19" s="10" t="s">
        <v>278</v>
      </c>
    </row>
    <row r="20" customFormat="false" ht="28.35" hidden="false" customHeight="false" outlineLevel="0" collapsed="false">
      <c r="A20" s="3" t="s">
        <v>54</v>
      </c>
      <c r="B20" s="3" t="s">
        <v>208</v>
      </c>
      <c r="C20" s="3" t="s">
        <v>279</v>
      </c>
      <c r="D20" s="3" t="s">
        <v>280</v>
      </c>
      <c r="E20" s="3" t="s">
        <v>30</v>
      </c>
      <c r="F20" s="3" t="s">
        <v>33</v>
      </c>
      <c r="G20" s="3" t="n">
        <v>3</v>
      </c>
      <c r="H20" s="3" t="n">
        <v>3</v>
      </c>
      <c r="I20" s="3" t="n">
        <v>4</v>
      </c>
      <c r="J20" s="3" t="s">
        <v>117</v>
      </c>
      <c r="K20" s="3" t="s">
        <v>214</v>
      </c>
      <c r="L20" s="3" t="s">
        <v>281</v>
      </c>
      <c r="M20" s="3" t="s">
        <v>282</v>
      </c>
      <c r="N20" s="3" t="s">
        <v>186</v>
      </c>
      <c r="O20" s="9" t="n">
        <v>0.6</v>
      </c>
      <c r="P20" s="10" t="s">
        <v>283</v>
      </c>
    </row>
    <row r="21" customFormat="false" ht="41.75" hidden="false" customHeight="false" outlineLevel="0" collapsed="false">
      <c r="A21" s="3" t="s">
        <v>284</v>
      </c>
      <c r="B21" s="3" t="s">
        <v>208</v>
      </c>
      <c r="C21" s="3" t="s">
        <v>285</v>
      </c>
      <c r="D21" s="3" t="s">
        <v>286</v>
      </c>
      <c r="E21" s="3" t="s">
        <v>33</v>
      </c>
      <c r="F21" s="3" t="s">
        <v>36</v>
      </c>
      <c r="G21" s="3" t="n">
        <v>2</v>
      </c>
      <c r="H21" s="3" t="n">
        <v>2</v>
      </c>
      <c r="I21" s="3" t="n">
        <v>4</v>
      </c>
      <c r="J21" s="3" t="s">
        <v>117</v>
      </c>
      <c r="K21" s="3" t="s">
        <v>201</v>
      </c>
      <c r="L21" s="3" t="s">
        <v>287</v>
      </c>
      <c r="M21" s="3" t="s">
        <v>288</v>
      </c>
      <c r="N21" s="3" t="s">
        <v>199</v>
      </c>
      <c r="O21" s="9" t="n">
        <v>0</v>
      </c>
      <c r="P21" s="10" t="s">
        <v>241</v>
      </c>
    </row>
    <row r="22" customFormat="false" ht="41.75" hidden="false" customHeight="false" outlineLevel="0" collapsed="false">
      <c r="A22" s="3" t="s">
        <v>289</v>
      </c>
      <c r="B22" s="3" t="s">
        <v>290</v>
      </c>
      <c r="C22" s="3" t="s">
        <v>209</v>
      </c>
      <c r="D22" s="3" t="s">
        <v>291</v>
      </c>
      <c r="E22" s="3" t="s">
        <v>27</v>
      </c>
      <c r="F22" s="3" t="s">
        <v>36</v>
      </c>
      <c r="G22" s="3" t="n">
        <v>3</v>
      </c>
      <c r="H22" s="3" t="n">
        <v>3</v>
      </c>
      <c r="I22" s="3" t="n">
        <v>6</v>
      </c>
      <c r="J22" s="3" t="s">
        <v>117</v>
      </c>
      <c r="K22" s="3" t="s">
        <v>207</v>
      </c>
      <c r="L22" s="3" t="s">
        <v>292</v>
      </c>
      <c r="M22" s="3" t="s">
        <v>293</v>
      </c>
      <c r="N22" s="3" t="s">
        <v>186</v>
      </c>
      <c r="O22" s="9" t="n">
        <v>0.6</v>
      </c>
      <c r="P22" s="10" t="s">
        <v>294</v>
      </c>
    </row>
    <row r="23" customFormat="false" ht="41.75" hidden="false" customHeight="false" outlineLevel="0" collapsed="false">
      <c r="A23" s="3" t="s">
        <v>295</v>
      </c>
      <c r="B23" s="3" t="s">
        <v>290</v>
      </c>
      <c r="C23" s="3" t="s">
        <v>209</v>
      </c>
      <c r="D23" s="3" t="s">
        <v>296</v>
      </c>
      <c r="E23" s="3" t="s">
        <v>27</v>
      </c>
      <c r="F23" s="3" t="s">
        <v>36</v>
      </c>
      <c r="G23" s="3" t="n">
        <v>3</v>
      </c>
      <c r="H23" s="3" t="n">
        <v>4</v>
      </c>
      <c r="I23" s="3" t="n">
        <v>6</v>
      </c>
      <c r="J23" s="3" t="s">
        <v>117</v>
      </c>
      <c r="K23" s="3" t="s">
        <v>297</v>
      </c>
      <c r="L23" s="3" t="s">
        <v>298</v>
      </c>
      <c r="M23" s="3" t="s">
        <v>299</v>
      </c>
      <c r="N23" s="3" t="s">
        <v>186</v>
      </c>
      <c r="O23" s="9" t="n">
        <v>0.5</v>
      </c>
      <c r="P23" s="10" t="s">
        <v>300</v>
      </c>
    </row>
    <row r="24" customFormat="false" ht="28.35" hidden="false" customHeight="false" outlineLevel="0" collapsed="false">
      <c r="A24" s="3" t="s">
        <v>301</v>
      </c>
      <c r="B24" s="3" t="s">
        <v>290</v>
      </c>
      <c r="C24" s="3" t="s">
        <v>215</v>
      </c>
      <c r="D24" s="3" t="s">
        <v>302</v>
      </c>
      <c r="E24" s="3" t="s">
        <v>30</v>
      </c>
      <c r="F24" s="3" t="s">
        <v>27</v>
      </c>
      <c r="G24" s="3" t="n">
        <v>3</v>
      </c>
      <c r="H24" s="3" t="n">
        <v>4</v>
      </c>
      <c r="I24" s="3" t="n">
        <v>8</v>
      </c>
      <c r="J24" s="3" t="s">
        <v>117</v>
      </c>
      <c r="K24" s="3" t="s">
        <v>303</v>
      </c>
      <c r="L24" s="3" t="s">
        <v>304</v>
      </c>
      <c r="M24" s="3" t="s">
        <v>305</v>
      </c>
      <c r="N24" s="3" t="s">
        <v>186</v>
      </c>
      <c r="O24" s="9" t="n">
        <v>0.6</v>
      </c>
      <c r="P24" s="10" t="s">
        <v>306</v>
      </c>
    </row>
    <row r="25" customFormat="false" ht="28.35" hidden="false" customHeight="false" outlineLevel="0" collapsed="false">
      <c r="A25" s="3" t="s">
        <v>307</v>
      </c>
      <c r="B25" s="3" t="s">
        <v>290</v>
      </c>
      <c r="C25" s="3" t="s">
        <v>195</v>
      </c>
      <c r="D25" s="3" t="s">
        <v>308</v>
      </c>
      <c r="E25" s="3" t="s">
        <v>33</v>
      </c>
      <c r="F25" s="3" t="s">
        <v>30</v>
      </c>
      <c r="G25" s="3" t="n">
        <v>3</v>
      </c>
      <c r="H25" s="3" t="n">
        <v>4</v>
      </c>
      <c r="I25" s="3" t="n">
        <v>8</v>
      </c>
      <c r="J25" s="3" t="s">
        <v>117</v>
      </c>
      <c r="K25" s="3" t="s">
        <v>220</v>
      </c>
      <c r="L25" s="3" t="s">
        <v>309</v>
      </c>
      <c r="M25" s="3" t="s">
        <v>310</v>
      </c>
      <c r="N25" s="3" t="s">
        <v>186</v>
      </c>
      <c r="O25" s="9" t="n">
        <v>0.3</v>
      </c>
      <c r="P25" s="10" t="s">
        <v>311</v>
      </c>
    </row>
    <row r="26" customFormat="false" ht="41.75" hidden="false" customHeight="false" outlineLevel="0" collapsed="false">
      <c r="A26" s="3" t="s">
        <v>312</v>
      </c>
      <c r="B26" s="3" t="s">
        <v>290</v>
      </c>
      <c r="C26" s="3" t="s">
        <v>195</v>
      </c>
      <c r="D26" s="3" t="s">
        <v>313</v>
      </c>
      <c r="E26" s="3" t="s">
        <v>33</v>
      </c>
      <c r="F26" s="3" t="s">
        <v>30</v>
      </c>
      <c r="G26" s="3" t="n">
        <v>4</v>
      </c>
      <c r="H26" s="3" t="n">
        <v>4</v>
      </c>
      <c r="I26" s="3" t="n">
        <v>8</v>
      </c>
      <c r="J26" s="3" t="s">
        <v>117</v>
      </c>
      <c r="K26" s="3" t="s">
        <v>314</v>
      </c>
      <c r="L26" s="3" t="s">
        <v>315</v>
      </c>
      <c r="M26" s="3" t="s">
        <v>316</v>
      </c>
      <c r="N26" s="3" t="s">
        <v>186</v>
      </c>
      <c r="O26" s="9" t="n">
        <v>0.6</v>
      </c>
      <c r="P26" s="10" t="s">
        <v>317</v>
      </c>
    </row>
    <row r="27" customFormat="false" ht="28.35" hidden="false" customHeight="false" outlineLevel="0" collapsed="false">
      <c r="A27" s="3" t="s">
        <v>318</v>
      </c>
      <c r="B27" s="3" t="s">
        <v>290</v>
      </c>
      <c r="C27" s="3" t="s">
        <v>209</v>
      </c>
      <c r="D27" s="3" t="s">
        <v>319</v>
      </c>
      <c r="E27" s="3" t="s">
        <v>27</v>
      </c>
      <c r="F27" s="3" t="s">
        <v>30</v>
      </c>
      <c r="G27" s="3" t="n">
        <v>4</v>
      </c>
      <c r="H27" s="3" t="n">
        <v>4</v>
      </c>
      <c r="I27" s="3" t="n">
        <v>8</v>
      </c>
      <c r="J27" s="3" t="s">
        <v>117</v>
      </c>
      <c r="K27" s="3" t="s">
        <v>320</v>
      </c>
      <c r="L27" s="3" t="s">
        <v>321</v>
      </c>
      <c r="M27" s="3" t="s">
        <v>322</v>
      </c>
      <c r="N27" s="3" t="s">
        <v>186</v>
      </c>
      <c r="O27" s="9" t="n">
        <v>0.5</v>
      </c>
      <c r="P27" s="10" t="s">
        <v>323</v>
      </c>
    </row>
    <row r="28" customFormat="false" ht="28.35" hidden="false" customHeight="false" outlineLevel="0" collapsed="false">
      <c r="A28" s="3" t="s">
        <v>324</v>
      </c>
      <c r="B28" s="3" t="s">
        <v>290</v>
      </c>
      <c r="C28" s="3" t="s">
        <v>225</v>
      </c>
      <c r="D28" s="3" t="s">
        <v>325</v>
      </c>
      <c r="E28" s="3" t="s">
        <v>36</v>
      </c>
      <c r="F28" s="3" t="s">
        <v>27</v>
      </c>
      <c r="G28" s="3" t="n">
        <v>4</v>
      </c>
      <c r="H28" s="3" t="n">
        <v>4</v>
      </c>
      <c r="I28" s="3" t="n">
        <v>6</v>
      </c>
      <c r="J28" s="3" t="s">
        <v>117</v>
      </c>
      <c r="K28" s="3" t="s">
        <v>326</v>
      </c>
      <c r="L28" s="3" t="s">
        <v>327</v>
      </c>
      <c r="M28" s="3" t="s">
        <v>328</v>
      </c>
      <c r="N28" s="3" t="s">
        <v>199</v>
      </c>
      <c r="O28" s="9" t="n">
        <v>0</v>
      </c>
      <c r="P28" s="10" t="s">
        <v>329</v>
      </c>
    </row>
    <row r="29" customFormat="false" ht="55.2" hidden="false" customHeight="false" outlineLevel="0" collapsed="false">
      <c r="A29" s="3" t="s">
        <v>330</v>
      </c>
      <c r="B29" s="3" t="s">
        <v>331</v>
      </c>
      <c r="C29" s="3" t="s">
        <v>215</v>
      </c>
      <c r="D29" s="3" t="s">
        <v>332</v>
      </c>
      <c r="E29" s="3" t="s">
        <v>30</v>
      </c>
      <c r="F29" s="3" t="s">
        <v>27</v>
      </c>
      <c r="G29" s="3" t="n">
        <v>4</v>
      </c>
      <c r="H29" s="3" t="n">
        <v>5</v>
      </c>
      <c r="I29" s="3" t="n">
        <v>8</v>
      </c>
      <c r="J29" s="3" t="s">
        <v>117</v>
      </c>
      <c r="K29" s="3" t="s">
        <v>301</v>
      </c>
      <c r="L29" s="3" t="s">
        <v>333</v>
      </c>
      <c r="M29" s="3" t="s">
        <v>334</v>
      </c>
      <c r="N29" s="3" t="s">
        <v>186</v>
      </c>
      <c r="O29" s="9" t="n">
        <v>0.6</v>
      </c>
      <c r="P29" s="10" t="s">
        <v>335</v>
      </c>
    </row>
    <row r="30" customFormat="false" ht="28.35" hidden="false" customHeight="false" outlineLevel="0" collapsed="false">
      <c r="A30" s="3" t="s">
        <v>336</v>
      </c>
      <c r="B30" s="3" t="s">
        <v>331</v>
      </c>
      <c r="C30" s="3" t="s">
        <v>209</v>
      </c>
      <c r="D30" s="3" t="s">
        <v>337</v>
      </c>
      <c r="E30" s="3" t="s">
        <v>27</v>
      </c>
      <c r="F30" s="3" t="s">
        <v>30</v>
      </c>
      <c r="G30" s="3" t="n">
        <v>4</v>
      </c>
      <c r="H30" s="3" t="n">
        <v>5</v>
      </c>
      <c r="I30" s="3" t="n">
        <v>8</v>
      </c>
      <c r="J30" s="3" t="s">
        <v>117</v>
      </c>
      <c r="K30" s="3" t="s">
        <v>338</v>
      </c>
      <c r="L30" s="3" t="s">
        <v>339</v>
      </c>
      <c r="M30" s="3" t="s">
        <v>340</v>
      </c>
      <c r="N30" s="3" t="s">
        <v>186</v>
      </c>
      <c r="O30" s="9" t="n">
        <v>0.5</v>
      </c>
      <c r="P30" s="10" t="s">
        <v>341</v>
      </c>
    </row>
    <row r="31" customFormat="false" ht="28.35" hidden="false" customHeight="false" outlineLevel="0" collapsed="false">
      <c r="A31" s="3" t="s">
        <v>342</v>
      </c>
      <c r="B31" s="3" t="s">
        <v>331</v>
      </c>
      <c r="C31" s="3" t="s">
        <v>269</v>
      </c>
      <c r="D31" s="3" t="s">
        <v>343</v>
      </c>
      <c r="E31" s="3" t="s">
        <v>36</v>
      </c>
      <c r="F31" s="3" t="s">
        <v>27</v>
      </c>
      <c r="G31" s="3" t="n">
        <v>4</v>
      </c>
      <c r="H31" s="3" t="n">
        <v>5</v>
      </c>
      <c r="I31" s="3" t="n">
        <v>12</v>
      </c>
      <c r="J31" s="3" t="s">
        <v>117</v>
      </c>
      <c r="K31" s="3" t="s">
        <v>344</v>
      </c>
      <c r="L31" s="3" t="s">
        <v>345</v>
      </c>
      <c r="M31" s="3" t="s">
        <v>346</v>
      </c>
      <c r="N31" s="3" t="s">
        <v>186</v>
      </c>
      <c r="O31" s="9" t="n">
        <v>0.3</v>
      </c>
      <c r="P31" s="10" t="s">
        <v>347</v>
      </c>
    </row>
    <row r="32" customFormat="false" ht="28.35" hidden="false" customHeight="false" outlineLevel="0" collapsed="false">
      <c r="A32" s="3" t="s">
        <v>348</v>
      </c>
      <c r="B32" s="3" t="s">
        <v>331</v>
      </c>
      <c r="C32" s="3" t="s">
        <v>209</v>
      </c>
      <c r="D32" s="3" t="s">
        <v>349</v>
      </c>
      <c r="E32" s="3" t="s">
        <v>27</v>
      </c>
      <c r="F32" s="3" t="s">
        <v>36</v>
      </c>
      <c r="G32" s="3" t="n">
        <v>5</v>
      </c>
      <c r="H32" s="3" t="n">
        <v>6</v>
      </c>
      <c r="I32" s="3" t="n">
        <v>6</v>
      </c>
      <c r="J32" s="3" t="s">
        <v>117</v>
      </c>
      <c r="K32" s="3" t="s">
        <v>350</v>
      </c>
      <c r="L32" s="3" t="s">
        <v>351</v>
      </c>
      <c r="M32" s="3" t="s">
        <v>352</v>
      </c>
      <c r="N32" s="3" t="s">
        <v>199</v>
      </c>
      <c r="O32" s="9" t="n">
        <v>0</v>
      </c>
      <c r="P32" s="10" t="s">
        <v>353</v>
      </c>
    </row>
    <row r="33" customFormat="false" ht="28.35" hidden="false" customHeight="false" outlineLevel="0" collapsed="false">
      <c r="A33" s="3" t="s">
        <v>354</v>
      </c>
      <c r="B33" s="3" t="s">
        <v>331</v>
      </c>
      <c r="C33" s="3" t="s">
        <v>225</v>
      </c>
      <c r="D33" s="3" t="s">
        <v>355</v>
      </c>
      <c r="E33" s="3" t="s">
        <v>36</v>
      </c>
      <c r="F33" s="3" t="s">
        <v>30</v>
      </c>
      <c r="G33" s="3" t="n">
        <v>5</v>
      </c>
      <c r="H33" s="3" t="n">
        <v>5</v>
      </c>
      <c r="I33" s="3" t="n">
        <v>6</v>
      </c>
      <c r="J33" s="3" t="s">
        <v>117</v>
      </c>
      <c r="K33" s="3" t="s">
        <v>356</v>
      </c>
      <c r="L33" s="3" t="s">
        <v>357</v>
      </c>
      <c r="M33" s="3" t="s">
        <v>358</v>
      </c>
      <c r="N33" s="3" t="s">
        <v>199</v>
      </c>
      <c r="O33" s="9" t="n">
        <v>0</v>
      </c>
      <c r="P33" s="10" t="s">
        <v>359</v>
      </c>
    </row>
    <row r="34" customFormat="false" ht="28.35" hidden="false" customHeight="false" outlineLevel="0" collapsed="false">
      <c r="A34" s="3" t="s">
        <v>360</v>
      </c>
      <c r="B34" s="3" t="s">
        <v>361</v>
      </c>
      <c r="C34" s="3" t="s">
        <v>195</v>
      </c>
      <c r="D34" s="3" t="s">
        <v>362</v>
      </c>
      <c r="E34" s="3" t="s">
        <v>33</v>
      </c>
      <c r="F34" s="3" t="s">
        <v>30</v>
      </c>
      <c r="G34" s="3" t="n">
        <v>5</v>
      </c>
      <c r="H34" s="3" t="n">
        <v>5</v>
      </c>
      <c r="I34" s="3" t="n">
        <v>8</v>
      </c>
      <c r="J34" s="3" t="s">
        <v>117</v>
      </c>
      <c r="K34" s="3" t="s">
        <v>312</v>
      </c>
      <c r="L34" s="3" t="s">
        <v>363</v>
      </c>
      <c r="M34" s="3" t="s">
        <v>364</v>
      </c>
      <c r="N34" s="3" t="s">
        <v>186</v>
      </c>
      <c r="O34" s="9" t="n">
        <v>0.6</v>
      </c>
      <c r="P34" s="10" t="s">
        <v>365</v>
      </c>
    </row>
    <row r="35" customFormat="false" ht="41.75" hidden="false" customHeight="false" outlineLevel="0" collapsed="false">
      <c r="A35" s="3" t="s">
        <v>366</v>
      </c>
      <c r="B35" s="3" t="s">
        <v>361</v>
      </c>
      <c r="C35" s="3" t="s">
        <v>195</v>
      </c>
      <c r="D35" s="3" t="s">
        <v>367</v>
      </c>
      <c r="E35" s="3" t="s">
        <v>33</v>
      </c>
      <c r="F35" s="3" t="s">
        <v>30</v>
      </c>
      <c r="G35" s="3" t="n">
        <v>5</v>
      </c>
      <c r="H35" s="3" t="n">
        <v>5</v>
      </c>
      <c r="I35" s="3" t="n">
        <v>5</v>
      </c>
      <c r="J35" s="3" t="s">
        <v>117</v>
      </c>
      <c r="K35" s="3" t="s">
        <v>368</v>
      </c>
      <c r="L35" s="3" t="s">
        <v>369</v>
      </c>
      <c r="M35" s="3" t="s">
        <v>370</v>
      </c>
      <c r="N35" s="3" t="s">
        <v>186</v>
      </c>
      <c r="O35" s="9" t="n">
        <v>0.6</v>
      </c>
      <c r="P35" s="10" t="s">
        <v>371</v>
      </c>
    </row>
    <row r="36" customFormat="false" ht="28.35" hidden="false" customHeight="false" outlineLevel="0" collapsed="false">
      <c r="A36" s="3" t="s">
        <v>372</v>
      </c>
      <c r="B36" s="3" t="s">
        <v>361</v>
      </c>
      <c r="C36" s="3" t="s">
        <v>269</v>
      </c>
      <c r="D36" s="3" t="s">
        <v>373</v>
      </c>
      <c r="E36" s="3" t="s">
        <v>27</v>
      </c>
      <c r="F36" s="3" t="s">
        <v>36</v>
      </c>
      <c r="G36" s="3" t="n">
        <v>5</v>
      </c>
      <c r="H36" s="3" t="n">
        <v>6</v>
      </c>
      <c r="I36" s="3" t="n">
        <v>6</v>
      </c>
      <c r="J36" s="3" t="s">
        <v>117</v>
      </c>
      <c r="K36" s="3" t="s">
        <v>374</v>
      </c>
      <c r="L36" s="3" t="s">
        <v>375</v>
      </c>
      <c r="M36" s="3" t="s">
        <v>376</v>
      </c>
      <c r="N36" s="3" t="s">
        <v>186</v>
      </c>
      <c r="O36" s="9" t="n">
        <v>0.4</v>
      </c>
      <c r="P36" s="10" t="s">
        <v>377</v>
      </c>
    </row>
    <row r="37" customFormat="false" ht="28.35" hidden="false" customHeight="false" outlineLevel="0" collapsed="false">
      <c r="A37" s="3" t="s">
        <v>378</v>
      </c>
      <c r="B37" s="3" t="s">
        <v>361</v>
      </c>
      <c r="C37" s="3" t="s">
        <v>225</v>
      </c>
      <c r="D37" s="3" t="s">
        <v>379</v>
      </c>
      <c r="E37" s="3" t="s">
        <v>36</v>
      </c>
      <c r="F37" s="3" t="s">
        <v>33</v>
      </c>
      <c r="G37" s="3" t="n">
        <v>6</v>
      </c>
      <c r="H37" s="3" t="n">
        <v>7</v>
      </c>
      <c r="I37" s="3" t="n">
        <v>5</v>
      </c>
      <c r="J37" s="3" t="s">
        <v>117</v>
      </c>
      <c r="K37" s="3" t="s">
        <v>380</v>
      </c>
      <c r="L37" s="3" t="s">
        <v>381</v>
      </c>
      <c r="M37" s="3" t="s">
        <v>382</v>
      </c>
      <c r="N37" s="3" t="s">
        <v>199</v>
      </c>
      <c r="O37" s="9" t="n">
        <v>0</v>
      </c>
      <c r="P37" s="10" t="s">
        <v>229</v>
      </c>
    </row>
    <row r="38" customFormat="false" ht="41.75" hidden="false" customHeight="false" outlineLevel="0" collapsed="false">
      <c r="A38" s="3" t="s">
        <v>383</v>
      </c>
      <c r="B38" s="3" t="s">
        <v>285</v>
      </c>
      <c r="C38" s="3" t="s">
        <v>195</v>
      </c>
      <c r="D38" s="3" t="s">
        <v>384</v>
      </c>
      <c r="E38" s="3" t="s">
        <v>33</v>
      </c>
      <c r="F38" s="3" t="s">
        <v>30</v>
      </c>
      <c r="G38" s="3" t="n">
        <v>5</v>
      </c>
      <c r="H38" s="3" t="n">
        <v>6</v>
      </c>
      <c r="I38" s="3" t="n">
        <v>6</v>
      </c>
      <c r="J38" s="3" t="s">
        <v>117</v>
      </c>
      <c r="K38" s="3" t="s">
        <v>385</v>
      </c>
      <c r="L38" s="3" t="s">
        <v>386</v>
      </c>
      <c r="M38" s="3" t="s">
        <v>387</v>
      </c>
      <c r="N38" s="3" t="s">
        <v>186</v>
      </c>
      <c r="O38" s="9" t="n">
        <v>0.6</v>
      </c>
      <c r="P38" s="10" t="s">
        <v>388</v>
      </c>
    </row>
    <row r="39" customFormat="false" ht="28.35" hidden="false" customHeight="false" outlineLevel="0" collapsed="false">
      <c r="A39" s="3" t="s">
        <v>389</v>
      </c>
      <c r="B39" s="3" t="s">
        <v>285</v>
      </c>
      <c r="C39" s="3" t="s">
        <v>269</v>
      </c>
      <c r="D39" s="3" t="s">
        <v>390</v>
      </c>
      <c r="E39" s="3" t="s">
        <v>36</v>
      </c>
      <c r="F39" s="3" t="s">
        <v>27</v>
      </c>
      <c r="G39" s="3" t="n">
        <v>6</v>
      </c>
      <c r="H39" s="3" t="n">
        <v>6</v>
      </c>
      <c r="I39" s="3" t="n">
        <v>6</v>
      </c>
      <c r="J39" s="3" t="s">
        <v>117</v>
      </c>
      <c r="K39" s="3" t="s">
        <v>391</v>
      </c>
      <c r="L39" s="3" t="s">
        <v>392</v>
      </c>
      <c r="M39" s="3" t="s">
        <v>393</v>
      </c>
      <c r="N39" s="3" t="s">
        <v>186</v>
      </c>
      <c r="O39" s="9" t="n">
        <v>0.3</v>
      </c>
      <c r="P39" s="10" t="s">
        <v>394</v>
      </c>
    </row>
    <row r="40" customFormat="false" ht="28.35" hidden="false" customHeight="false" outlineLevel="0" collapsed="false">
      <c r="A40" s="3" t="s">
        <v>395</v>
      </c>
      <c r="B40" s="3" t="s">
        <v>285</v>
      </c>
      <c r="C40" s="3" t="s">
        <v>225</v>
      </c>
      <c r="D40" s="3" t="s">
        <v>396</v>
      </c>
      <c r="E40" s="3" t="s">
        <v>36</v>
      </c>
      <c r="F40" s="3" t="s">
        <v>33</v>
      </c>
      <c r="G40" s="3" t="n">
        <v>7</v>
      </c>
      <c r="H40" s="3" t="n">
        <v>7</v>
      </c>
      <c r="I40" s="3" t="n">
        <v>4</v>
      </c>
      <c r="J40" s="3" t="s">
        <v>117</v>
      </c>
      <c r="K40" s="3" t="s">
        <v>397</v>
      </c>
      <c r="L40" s="3" t="s">
        <v>398</v>
      </c>
      <c r="M40" s="3" t="s">
        <v>399</v>
      </c>
      <c r="N40" s="3" t="s">
        <v>199</v>
      </c>
      <c r="O40" s="9" t="n">
        <v>0</v>
      </c>
      <c r="P40" s="10" t="s">
        <v>229</v>
      </c>
    </row>
    <row r="41" customFormat="false" ht="28.35" hidden="false" customHeight="false" outlineLevel="0" collapsed="false">
      <c r="A41" s="3" t="s">
        <v>57</v>
      </c>
      <c r="B41" s="3" t="s">
        <v>285</v>
      </c>
      <c r="C41" s="3" t="s">
        <v>269</v>
      </c>
      <c r="D41" s="3" t="s">
        <v>400</v>
      </c>
      <c r="E41" s="3" t="s">
        <v>36</v>
      </c>
      <c r="F41" s="3" t="s">
        <v>27</v>
      </c>
      <c r="G41" s="3" t="n">
        <v>6</v>
      </c>
      <c r="H41" s="3" t="n">
        <v>7</v>
      </c>
      <c r="I41" s="3" t="n">
        <v>4</v>
      </c>
      <c r="J41" s="3" t="s">
        <v>117</v>
      </c>
      <c r="K41" s="3" t="s">
        <v>401</v>
      </c>
      <c r="L41" s="3" t="s">
        <v>402</v>
      </c>
      <c r="M41" s="3" t="s">
        <v>403</v>
      </c>
      <c r="N41" s="3" t="s">
        <v>199</v>
      </c>
      <c r="O41" s="9" t="n">
        <v>0</v>
      </c>
      <c r="P41" s="10" t="s">
        <v>404</v>
      </c>
    </row>
    <row r="42" customFormat="false" ht="41.75" hidden="false" customHeight="false" outlineLevel="0" collapsed="false">
      <c r="A42" s="3" t="s">
        <v>405</v>
      </c>
      <c r="B42" s="3" t="s">
        <v>406</v>
      </c>
      <c r="C42" s="3" t="s">
        <v>195</v>
      </c>
      <c r="D42" s="3" t="s">
        <v>407</v>
      </c>
      <c r="E42" s="3" t="s">
        <v>33</v>
      </c>
      <c r="F42" s="3" t="s">
        <v>30</v>
      </c>
      <c r="G42" s="3" t="n">
        <v>6</v>
      </c>
      <c r="H42" s="3" t="n">
        <v>7</v>
      </c>
      <c r="I42" s="3" t="n">
        <v>6</v>
      </c>
      <c r="J42" s="3" t="s">
        <v>147</v>
      </c>
      <c r="K42" s="3" t="s">
        <v>360</v>
      </c>
      <c r="L42" s="3" t="s">
        <v>408</v>
      </c>
      <c r="M42" s="3" t="s">
        <v>409</v>
      </c>
      <c r="N42" s="3" t="s">
        <v>199</v>
      </c>
      <c r="O42" s="9" t="n">
        <v>0</v>
      </c>
      <c r="P42" s="10" t="s">
        <v>410</v>
      </c>
    </row>
    <row r="43" customFormat="false" ht="41.75" hidden="false" customHeight="false" outlineLevel="0" collapsed="false">
      <c r="A43" s="3" t="s">
        <v>411</v>
      </c>
      <c r="B43" s="3" t="s">
        <v>406</v>
      </c>
      <c r="C43" s="3" t="s">
        <v>195</v>
      </c>
      <c r="D43" s="3" t="s">
        <v>412</v>
      </c>
      <c r="E43" s="3" t="s">
        <v>33</v>
      </c>
      <c r="F43" s="3" t="s">
        <v>30</v>
      </c>
      <c r="G43" s="3" t="n">
        <v>6</v>
      </c>
      <c r="H43" s="3" t="n">
        <v>7</v>
      </c>
      <c r="I43" s="3" t="n">
        <v>12</v>
      </c>
      <c r="J43" s="3" t="s">
        <v>147</v>
      </c>
      <c r="K43" s="3" t="s">
        <v>413</v>
      </c>
      <c r="L43" s="3" t="s">
        <v>414</v>
      </c>
      <c r="M43" s="3" t="s">
        <v>415</v>
      </c>
      <c r="N43" s="3" t="s">
        <v>199</v>
      </c>
      <c r="O43" s="9" t="n">
        <v>0</v>
      </c>
      <c r="P43" s="10" t="s">
        <v>416</v>
      </c>
    </row>
    <row r="44" customFormat="false" ht="28.35" hidden="false" customHeight="false" outlineLevel="0" collapsed="false">
      <c r="A44" s="3" t="s">
        <v>417</v>
      </c>
      <c r="B44" s="3" t="s">
        <v>406</v>
      </c>
      <c r="C44" s="3" t="s">
        <v>209</v>
      </c>
      <c r="D44" s="3" t="s">
        <v>418</v>
      </c>
      <c r="E44" s="3" t="s">
        <v>27</v>
      </c>
      <c r="F44" s="3" t="s">
        <v>36</v>
      </c>
      <c r="G44" s="3" t="n">
        <v>7</v>
      </c>
      <c r="H44" s="3" t="n">
        <v>7</v>
      </c>
      <c r="I44" s="3" t="n">
        <v>8</v>
      </c>
      <c r="J44" s="3" t="s">
        <v>147</v>
      </c>
      <c r="K44" s="3" t="s">
        <v>419</v>
      </c>
      <c r="L44" s="3" t="s">
        <v>420</v>
      </c>
      <c r="M44" s="3" t="s">
        <v>421</v>
      </c>
      <c r="N44" s="3" t="s">
        <v>199</v>
      </c>
      <c r="O44" s="9" t="n">
        <v>0</v>
      </c>
      <c r="P44" s="10" t="s">
        <v>422</v>
      </c>
    </row>
    <row r="45" customFormat="false" ht="28.35" hidden="false" customHeight="false" outlineLevel="0" collapsed="false">
      <c r="A45" s="3" t="s">
        <v>155</v>
      </c>
      <c r="B45" s="3" t="s">
        <v>406</v>
      </c>
      <c r="C45" s="3" t="s">
        <v>215</v>
      </c>
      <c r="D45" s="3" t="s">
        <v>423</v>
      </c>
      <c r="E45" s="3" t="s">
        <v>30</v>
      </c>
      <c r="F45" s="3" t="s">
        <v>36</v>
      </c>
      <c r="G45" s="3" t="n">
        <v>6</v>
      </c>
      <c r="H45" s="3" t="n">
        <v>7</v>
      </c>
      <c r="I45" s="3" t="n">
        <v>8</v>
      </c>
      <c r="J45" s="3" t="s">
        <v>147</v>
      </c>
      <c r="K45" s="3" t="s">
        <v>330</v>
      </c>
      <c r="L45" s="3" t="s">
        <v>424</v>
      </c>
      <c r="M45" s="3" t="s">
        <v>425</v>
      </c>
      <c r="N45" s="3" t="s">
        <v>199</v>
      </c>
      <c r="O45" s="9" t="n">
        <v>0</v>
      </c>
      <c r="P45" s="10" t="s">
        <v>306</v>
      </c>
    </row>
    <row r="46" customFormat="false" ht="41.75" hidden="false" customHeight="false" outlineLevel="0" collapsed="false">
      <c r="A46" s="3" t="s">
        <v>158</v>
      </c>
      <c r="B46" s="3" t="s">
        <v>406</v>
      </c>
      <c r="C46" s="3" t="s">
        <v>215</v>
      </c>
      <c r="D46" s="3" t="s">
        <v>426</v>
      </c>
      <c r="E46" s="3" t="s">
        <v>30</v>
      </c>
      <c r="F46" s="3" t="s">
        <v>33</v>
      </c>
      <c r="G46" s="3" t="n">
        <v>7</v>
      </c>
      <c r="H46" s="3" t="n">
        <v>7</v>
      </c>
      <c r="I46" s="3" t="n">
        <v>4</v>
      </c>
      <c r="J46" s="3" t="s">
        <v>147</v>
      </c>
      <c r="K46" s="3" t="s">
        <v>51</v>
      </c>
      <c r="L46" s="3" t="s">
        <v>427</v>
      </c>
      <c r="M46" s="3" t="s">
        <v>428</v>
      </c>
      <c r="N46" s="3" t="s">
        <v>199</v>
      </c>
      <c r="O46" s="9" t="n">
        <v>0</v>
      </c>
      <c r="P46" s="10" t="s">
        <v>278</v>
      </c>
    </row>
    <row r="47" customFormat="false" ht="28.35" hidden="false" customHeight="false" outlineLevel="0" collapsed="false">
      <c r="A47" s="3" t="s">
        <v>429</v>
      </c>
      <c r="B47" s="3" t="s">
        <v>430</v>
      </c>
      <c r="C47" s="3" t="s">
        <v>431</v>
      </c>
      <c r="D47" s="3" t="s">
        <v>432</v>
      </c>
      <c r="E47" s="3" t="s">
        <v>27</v>
      </c>
      <c r="F47" s="3" t="s">
        <v>30</v>
      </c>
      <c r="G47" s="3" t="n">
        <v>7</v>
      </c>
      <c r="H47" s="3" t="n">
        <v>8</v>
      </c>
      <c r="I47" s="3" t="n">
        <v>5</v>
      </c>
      <c r="J47" s="3" t="s">
        <v>117</v>
      </c>
      <c r="K47" s="3" t="s">
        <v>433</v>
      </c>
      <c r="L47" s="3" t="s">
        <v>434</v>
      </c>
      <c r="M47" s="3" t="s">
        <v>435</v>
      </c>
      <c r="N47" s="3" t="s">
        <v>199</v>
      </c>
      <c r="O47" s="9" t="n">
        <v>0</v>
      </c>
      <c r="P47" s="10" t="s">
        <v>436</v>
      </c>
    </row>
    <row r="48" customFormat="false" ht="28.35" hidden="false" customHeight="false" outlineLevel="0" collapsed="false">
      <c r="A48" s="3" t="s">
        <v>437</v>
      </c>
      <c r="B48" s="3" t="s">
        <v>430</v>
      </c>
      <c r="C48" s="3" t="s">
        <v>431</v>
      </c>
      <c r="D48" s="3" t="s">
        <v>438</v>
      </c>
      <c r="E48" s="3" t="s">
        <v>30</v>
      </c>
      <c r="F48" s="3" t="s">
        <v>27</v>
      </c>
      <c r="G48" s="3" t="n">
        <v>7</v>
      </c>
      <c r="H48" s="3" t="n">
        <v>8</v>
      </c>
      <c r="I48" s="3" t="n">
        <v>8</v>
      </c>
      <c r="J48" s="3" t="s">
        <v>117</v>
      </c>
      <c r="K48" s="3" t="s">
        <v>439</v>
      </c>
      <c r="L48" s="3" t="s">
        <v>440</v>
      </c>
      <c r="M48" s="3" t="s">
        <v>441</v>
      </c>
      <c r="N48" s="3" t="s">
        <v>199</v>
      </c>
      <c r="O48" s="9" t="n">
        <v>0</v>
      </c>
      <c r="P48" s="10" t="s">
        <v>442</v>
      </c>
    </row>
    <row r="49" customFormat="false" ht="28.35" hidden="false" customHeight="false" outlineLevel="0" collapsed="false">
      <c r="A49" s="3" t="s">
        <v>443</v>
      </c>
      <c r="B49" s="3" t="s">
        <v>430</v>
      </c>
      <c r="C49" s="3" t="s">
        <v>195</v>
      </c>
      <c r="D49" s="3" t="s">
        <v>444</v>
      </c>
      <c r="E49" s="3" t="s">
        <v>33</v>
      </c>
      <c r="F49" s="3" t="s">
        <v>36</v>
      </c>
      <c r="G49" s="3" t="n">
        <v>7</v>
      </c>
      <c r="H49" s="3" t="n">
        <v>8</v>
      </c>
      <c r="I49" s="3" t="n">
        <v>8</v>
      </c>
      <c r="J49" s="3" t="s">
        <v>117</v>
      </c>
      <c r="K49" s="3" t="s">
        <v>360</v>
      </c>
      <c r="L49" s="3" t="s">
        <v>445</v>
      </c>
      <c r="M49" s="3" t="s">
        <v>446</v>
      </c>
      <c r="N49" s="3" t="s">
        <v>199</v>
      </c>
      <c r="O49" s="9" t="n">
        <v>0</v>
      </c>
      <c r="P49" s="10" t="s">
        <v>447</v>
      </c>
    </row>
    <row r="50" customFormat="false" ht="28.35" hidden="false" customHeight="false" outlineLevel="0" collapsed="false">
      <c r="A50" s="3" t="s">
        <v>93</v>
      </c>
      <c r="B50" s="3" t="s">
        <v>430</v>
      </c>
      <c r="C50" s="3" t="s">
        <v>448</v>
      </c>
      <c r="D50" s="3" t="s">
        <v>449</v>
      </c>
      <c r="E50" s="3" t="s">
        <v>30</v>
      </c>
      <c r="F50" s="3" t="s">
        <v>33</v>
      </c>
      <c r="G50" s="3" t="n">
        <v>7</v>
      </c>
      <c r="H50" s="3" t="n">
        <v>8</v>
      </c>
      <c r="I50" s="3" t="n">
        <v>8</v>
      </c>
      <c r="J50" s="3" t="s">
        <v>117</v>
      </c>
      <c r="K50" s="3" t="s">
        <v>437</v>
      </c>
      <c r="L50" s="3" t="s">
        <v>450</v>
      </c>
      <c r="M50" s="3" t="s">
        <v>451</v>
      </c>
      <c r="N50" s="3" t="s">
        <v>199</v>
      </c>
      <c r="O50" s="9" t="n">
        <v>0</v>
      </c>
      <c r="P50" s="10" t="s">
        <v>452</v>
      </c>
    </row>
    <row r="51" customFormat="false" ht="28.35" hidden="false" customHeight="false" outlineLevel="0" collapsed="false">
      <c r="A51" s="3" t="s">
        <v>453</v>
      </c>
      <c r="B51" s="3" t="s">
        <v>430</v>
      </c>
      <c r="C51" s="3" t="s">
        <v>225</v>
      </c>
      <c r="D51" s="3" t="s">
        <v>454</v>
      </c>
      <c r="E51" s="3" t="s">
        <v>36</v>
      </c>
      <c r="F51" s="3" t="s">
        <v>27</v>
      </c>
      <c r="G51" s="3" t="n">
        <v>8</v>
      </c>
      <c r="H51" s="3" t="n">
        <v>8</v>
      </c>
      <c r="I51" s="3" t="n">
        <v>10</v>
      </c>
      <c r="J51" s="3" t="s">
        <v>117</v>
      </c>
      <c r="K51" s="3" t="s">
        <v>455</v>
      </c>
      <c r="L51" s="3" t="s">
        <v>456</v>
      </c>
      <c r="M51" s="3" t="s">
        <v>457</v>
      </c>
      <c r="N51" s="3" t="s">
        <v>199</v>
      </c>
      <c r="O51" s="9" t="n">
        <v>0</v>
      </c>
      <c r="P51" s="10" t="s">
        <v>229</v>
      </c>
    </row>
    <row r="52" customFormat="false" ht="28.35" hidden="false" customHeight="false" outlineLevel="0" collapsed="false">
      <c r="A52" s="3" t="s">
        <v>458</v>
      </c>
      <c r="B52" s="3" t="s">
        <v>430</v>
      </c>
      <c r="C52" s="3" t="s">
        <v>459</v>
      </c>
      <c r="D52" s="3" t="s">
        <v>460</v>
      </c>
      <c r="E52" s="3" t="s">
        <v>27</v>
      </c>
      <c r="F52" s="3" t="s">
        <v>36</v>
      </c>
      <c r="G52" s="3" t="n">
        <v>8</v>
      </c>
      <c r="H52" s="3" t="n">
        <v>8</v>
      </c>
      <c r="I52" s="3" t="n">
        <v>8</v>
      </c>
      <c r="J52" s="3" t="s">
        <v>117</v>
      </c>
      <c r="K52" s="3" t="s">
        <v>461</v>
      </c>
      <c r="L52" s="3" t="s">
        <v>462</v>
      </c>
      <c r="M52" s="3" t="s">
        <v>463</v>
      </c>
      <c r="N52" s="3" t="s">
        <v>199</v>
      </c>
      <c r="O52" s="9" t="n">
        <v>0</v>
      </c>
      <c r="P52" s="10" t="s">
        <v>464</v>
      </c>
    </row>
    <row r="53" customFormat="false" ht="28.35" hidden="false" customHeight="false" outlineLevel="0" collapsed="false">
      <c r="A53" s="3" t="s">
        <v>465</v>
      </c>
      <c r="B53" s="3" t="s">
        <v>430</v>
      </c>
      <c r="C53" s="3" t="s">
        <v>459</v>
      </c>
      <c r="D53" s="3" t="s">
        <v>466</v>
      </c>
      <c r="E53" s="3" t="s">
        <v>30</v>
      </c>
      <c r="F53" s="3" t="s">
        <v>33</v>
      </c>
      <c r="G53" s="3" t="n">
        <v>8</v>
      </c>
      <c r="H53" s="3" t="n">
        <v>8</v>
      </c>
      <c r="I53" s="3" t="n">
        <v>5</v>
      </c>
      <c r="J53" s="3" t="s">
        <v>117</v>
      </c>
      <c r="K53" s="3" t="s">
        <v>93</v>
      </c>
      <c r="L53" s="3" t="s">
        <v>467</v>
      </c>
      <c r="M53" s="3" t="s">
        <v>468</v>
      </c>
      <c r="N53" s="3" t="s">
        <v>199</v>
      </c>
      <c r="O53" s="9" t="n">
        <v>0</v>
      </c>
      <c r="P53" s="10" t="s">
        <v>469</v>
      </c>
    </row>
    <row r="54" customFormat="false" ht="28.35" hidden="false" customHeight="false" outlineLevel="0" collapsed="false">
      <c r="A54" s="3" t="s">
        <v>470</v>
      </c>
      <c r="B54" s="3" t="s">
        <v>430</v>
      </c>
      <c r="C54" s="3" t="s">
        <v>237</v>
      </c>
      <c r="D54" s="3" t="s">
        <v>471</v>
      </c>
      <c r="E54" s="3" t="s">
        <v>36</v>
      </c>
      <c r="F54" s="3" t="s">
        <v>27</v>
      </c>
      <c r="G54" s="3" t="n">
        <v>8</v>
      </c>
      <c r="H54" s="3" t="n">
        <v>8</v>
      </c>
      <c r="I54" s="3" t="n">
        <v>8</v>
      </c>
      <c r="J54" s="3" t="s">
        <v>117</v>
      </c>
      <c r="K54" s="3" t="s">
        <v>472</v>
      </c>
      <c r="L54" s="3" t="s">
        <v>473</v>
      </c>
      <c r="M54" s="3" t="s">
        <v>474</v>
      </c>
      <c r="N54" s="3" t="s">
        <v>199</v>
      </c>
      <c r="O54" s="9" t="n">
        <v>0</v>
      </c>
      <c r="P54" s="10" t="s">
        <v>187</v>
      </c>
    </row>
  </sheetData>
  <mergeCells count="1">
    <mergeCell ref="A1:P1"/>
  </mergeCells>
  <conditionalFormatting sqref="O4:O5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4:N54">
    <cfRule type="expression" priority="3" aboveAverage="0" equalAverage="0" bottom="0" percent="0" rank="0" text="" dxfId="0">
      <formula>$N4="Bị chặn"</formula>
    </cfRule>
  </conditionalFormatting>
  <conditionalFormatting sqref="A4:P54">
    <cfRule type="expression" priority="4" aboveAverage="0" equalAverage="0" bottom="0" percent="0" rank="0" text="" dxfId="1">
      <formula>$J4="P1"</formula>
    </cfRule>
  </conditionalFormatting>
  <dataValidations count="2">
    <dataValidation allowBlank="true" errorStyle="stop" operator="between" showDropDown="false" showErrorMessage="false" showInputMessage="false" sqref="N4:N54" type="list">
      <formula1>"Chưa bắt đầu,Đang thực hiện,Đã hoàn thành,Bị chặn"</formula1>
      <formula2>0</formula2>
    </dataValidation>
    <dataValidation allowBlank="false" errorStyle="stop" operator="between" showDropDown="false" showErrorMessage="false" showInputMessage="false" sqref="O4:O54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13" min="6" style="0" width="11"/>
  </cols>
  <sheetData>
    <row r="1" customFormat="false" ht="30" hidden="false" customHeight="true" outlineLevel="0" collapsed="false">
      <c r="A1" s="1" t="s">
        <v>475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1" t="s">
        <v>476</v>
      </c>
    </row>
    <row r="3" customFormat="false" ht="15" hidden="false" customHeight="false" outlineLevel="0" collapsed="false">
      <c r="A3" s="5" t="s">
        <v>167</v>
      </c>
      <c r="B3" s="5" t="s">
        <v>47</v>
      </c>
      <c r="C3" s="5" t="s">
        <v>477</v>
      </c>
      <c r="D3" s="5" t="s">
        <v>112</v>
      </c>
      <c r="E3" s="5" t="s">
        <v>174</v>
      </c>
      <c r="F3" s="5" t="s">
        <v>478</v>
      </c>
      <c r="G3" s="5" t="s">
        <v>479</v>
      </c>
      <c r="H3" s="5" t="s">
        <v>480</v>
      </c>
      <c r="I3" s="5" t="s">
        <v>481</v>
      </c>
      <c r="J3" s="5" t="s">
        <v>482</v>
      </c>
      <c r="K3" s="5" t="s">
        <v>483</v>
      </c>
      <c r="L3" s="5" t="s">
        <v>484</v>
      </c>
      <c r="M3" s="5" t="s">
        <v>485</v>
      </c>
    </row>
    <row r="4" customFormat="false" ht="41.75" hidden="false" customHeight="false" outlineLevel="0" collapsed="false">
      <c r="A4" s="12" t="str">
        <f aca="false">'Backlog phân công'!A4</f>
        <v>P01</v>
      </c>
      <c r="B4" s="13" t="str">
        <f aca="false">'Backlog phân công'!D4</f>
        <v>Cả nhóm review &amp; chốt kiến trúc phân tầng theo SDS Hình 1 (presentation/business/data_access/data/infrastructure), 9 ADR, luật L1–L7</v>
      </c>
      <c r="C4" s="12" t="str">
        <f aca="false">'Backlog phân công'!E4</f>
        <v>Lê Đăng Sơn</v>
      </c>
      <c r="D4" s="12" t="str">
        <f aca="false">'Backlog phân công'!J4</f>
        <v>P0</v>
      </c>
      <c r="E4" s="12" t="n">
        <f aca="false">'Backlog phân công'!I4</f>
        <v>4</v>
      </c>
      <c r="F4" s="14" t="str">
        <f aca="false">IF(AND('Backlog phân công'!$G4&lt;=1,'Backlog phân công'!$H4&gt;=1),"■","")</f>
        <v>■</v>
      </c>
      <c r="G4" s="14" t="str">
        <f aca="false">IF(AND('Backlog phân công'!$G4&lt;=2,'Backlog phân công'!$H4&gt;=2),"■","")</f>
        <v/>
      </c>
      <c r="H4" s="14" t="str">
        <f aca="false">IF(AND('Backlog phân công'!$G4&lt;=3,'Backlog phân công'!$H4&gt;=3),"■","")</f>
        <v/>
      </c>
      <c r="I4" s="14" t="str">
        <f aca="false">IF(AND('Backlog phân công'!$G4&lt;=4,'Backlog phân công'!$H4&gt;=4),"■","")</f>
        <v/>
      </c>
      <c r="J4" s="14" t="str">
        <f aca="false">IF(AND('Backlog phân công'!$G4&lt;=5,'Backlog phân công'!$H4&gt;=5),"■","")</f>
        <v/>
      </c>
      <c r="K4" s="14" t="str">
        <f aca="false">IF(AND('Backlog phân công'!$G4&lt;=6,'Backlog phân công'!$H4&gt;=6),"■","")</f>
        <v/>
      </c>
      <c r="L4" s="14" t="str">
        <f aca="false">IF(AND('Backlog phân công'!$G4&lt;=7,'Backlog phân công'!$H4&gt;=7),"■","")</f>
        <v/>
      </c>
      <c r="M4" s="14" t="str">
        <f aca="false">IF(AND('Backlog phân công'!$G4&lt;=8,'Backlog phân công'!$H4&gt;=8),"■","")</f>
        <v/>
      </c>
    </row>
    <row r="5" customFormat="false" ht="28.35" hidden="false" customHeight="false" outlineLevel="0" collapsed="false">
      <c r="A5" s="12" t="str">
        <f aca="false">'Backlog phân công'!A5</f>
        <v>P02</v>
      </c>
      <c r="B5" s="13" t="str">
        <f aca="false">'Backlog phân công'!D5</f>
        <v>Duyệt quy ước API: hợp nhất /notes/quick, /notes/ragged → POST /notes; PATCH theo id; bulk-delete; error contract</v>
      </c>
      <c r="C5" s="12" t="str">
        <f aca="false">'Backlog phân công'!E5</f>
        <v>Trịnh Mạnh Quang</v>
      </c>
      <c r="D5" s="12" t="str">
        <f aca="false">'Backlog phân công'!J5</f>
        <v>P0</v>
      </c>
      <c r="E5" s="12" t="n">
        <f aca="false">'Backlog phân công'!I5</f>
        <v>4</v>
      </c>
      <c r="F5" s="14" t="str">
        <f aca="false">IF(AND('Backlog phân công'!$G5&lt;=1,'Backlog phân công'!$H5&gt;=1),"■","")</f>
        <v>■</v>
      </c>
      <c r="G5" s="14" t="str">
        <f aca="false">IF(AND('Backlog phân công'!$G5&lt;=2,'Backlog phân công'!$H5&gt;=2),"■","")</f>
        <v/>
      </c>
      <c r="H5" s="14" t="str">
        <f aca="false">IF(AND('Backlog phân công'!$G5&lt;=3,'Backlog phân công'!$H5&gt;=3),"■","")</f>
        <v/>
      </c>
      <c r="I5" s="14" t="str">
        <f aca="false">IF(AND('Backlog phân công'!$G5&lt;=4,'Backlog phân công'!$H5&gt;=4),"■","")</f>
        <v/>
      </c>
      <c r="J5" s="14" t="str">
        <f aca="false">IF(AND('Backlog phân công'!$G5&lt;=5,'Backlog phân công'!$H5&gt;=5),"■","")</f>
        <v/>
      </c>
      <c r="K5" s="14" t="str">
        <f aca="false">IF(AND('Backlog phân công'!$G5&lt;=6,'Backlog phân công'!$H5&gt;=6),"■","")</f>
        <v/>
      </c>
      <c r="L5" s="14" t="str">
        <f aca="false">IF(AND('Backlog phân công'!$G5&lt;=7,'Backlog phân công'!$H5&gt;=7),"■","")</f>
        <v/>
      </c>
      <c r="M5" s="14" t="str">
        <f aca="false">IF(AND('Backlog phân công'!$G5&lt;=8,'Backlog phân công'!$H5&gt;=8),"■","")</f>
        <v/>
      </c>
    </row>
    <row r="6" customFormat="false" ht="28.35" hidden="false" customHeight="false" outlineLevel="0" collapsed="false">
      <c r="A6" s="12" t="str">
        <f aca="false">'Backlog phân công'!A6</f>
        <v>P03</v>
      </c>
      <c r="B6" s="13" t="str">
        <f aca="false">'Backlog phân công'!D6</f>
        <v>Spike OpenAI: đo latency/chi phí embedding &amp; tóm tắt cho văn bản tiếng Việt; chốt model, chunk size, hạn mức quota</v>
      </c>
      <c r="C6" s="12" t="str">
        <f aca="false">'Backlog phân công'!E6</f>
        <v>Mai Đức Vinh</v>
      </c>
      <c r="D6" s="12" t="str">
        <f aca="false">'Backlog phân công'!J6</f>
        <v>P0</v>
      </c>
      <c r="E6" s="12" t="n">
        <f aca="false">'Backlog phân công'!I6</f>
        <v>6</v>
      </c>
      <c r="F6" s="14" t="str">
        <f aca="false">IF(AND('Backlog phân công'!$G6&lt;=1,'Backlog phân công'!$H6&gt;=1),"■","")</f>
        <v>■</v>
      </c>
      <c r="G6" s="14" t="str">
        <f aca="false">IF(AND('Backlog phân công'!$G6&lt;=2,'Backlog phân công'!$H6&gt;=2),"■","")</f>
        <v/>
      </c>
      <c r="H6" s="14" t="str">
        <f aca="false">IF(AND('Backlog phân công'!$G6&lt;=3,'Backlog phân công'!$H6&gt;=3),"■","")</f>
        <v/>
      </c>
      <c r="I6" s="14" t="str">
        <f aca="false">IF(AND('Backlog phân công'!$G6&lt;=4,'Backlog phân công'!$H6&gt;=4),"■","")</f>
        <v/>
      </c>
      <c r="J6" s="14" t="str">
        <f aca="false">IF(AND('Backlog phân công'!$G6&lt;=5,'Backlog phân công'!$H6&gt;=5),"■","")</f>
        <v/>
      </c>
      <c r="K6" s="14" t="str">
        <f aca="false">IF(AND('Backlog phân công'!$G6&lt;=6,'Backlog phân công'!$H6&gt;=6),"■","")</f>
        <v/>
      </c>
      <c r="L6" s="14" t="str">
        <f aca="false">IF(AND('Backlog phân công'!$G6&lt;=7,'Backlog phân công'!$H6&gt;=7),"■","")</f>
        <v/>
      </c>
      <c r="M6" s="14" t="str">
        <f aca="false">IF(AND('Backlog phân công'!$G6&lt;=8,'Backlog phân công'!$H6&gt;=8),"■","")</f>
        <v/>
      </c>
    </row>
    <row r="7" customFormat="false" ht="41.75" hidden="false" customHeight="false" outlineLevel="0" collapsed="false">
      <c r="A7" s="12" t="str">
        <f aca="false">'Backlog phân công'!A7</f>
        <v>P04</v>
      </c>
      <c r="B7" s="13" t="str">
        <f aca="false">'Backlog phân công'!D7</f>
        <v>User flow + wireframe 6 luồng SDS: đăng nhập, ghi chú nhanh + hoàn tác, thư viện/thư mục, tìm kiếm, tóm tắt, xoá tài khoản</v>
      </c>
      <c r="C7" s="12" t="str">
        <f aca="false">'Backlog phân công'!E7</f>
        <v>Trần Thùy Dương</v>
      </c>
      <c r="D7" s="12" t="str">
        <f aca="false">'Backlog phân công'!J7</f>
        <v>P0</v>
      </c>
      <c r="E7" s="12" t="n">
        <f aca="false">'Backlog phân công'!I7</f>
        <v>8</v>
      </c>
      <c r="F7" s="14" t="str">
        <f aca="false">IF(AND('Backlog phân công'!$G7&lt;=1,'Backlog phân công'!$H7&gt;=1),"■","")</f>
        <v>■</v>
      </c>
      <c r="G7" s="14" t="str">
        <f aca="false">IF(AND('Backlog phân công'!$G7&lt;=2,'Backlog phân công'!$H7&gt;=2),"■","")</f>
        <v/>
      </c>
      <c r="H7" s="14" t="str">
        <f aca="false">IF(AND('Backlog phân công'!$G7&lt;=3,'Backlog phân công'!$H7&gt;=3),"■","")</f>
        <v/>
      </c>
      <c r="I7" s="14" t="str">
        <f aca="false">IF(AND('Backlog phân công'!$G7&lt;=4,'Backlog phân công'!$H7&gt;=4),"■","")</f>
        <v/>
      </c>
      <c r="J7" s="14" t="str">
        <f aca="false">IF(AND('Backlog phân công'!$G7&lt;=5,'Backlog phân công'!$H7&gt;=5),"■","")</f>
        <v/>
      </c>
      <c r="K7" s="14" t="str">
        <f aca="false">IF(AND('Backlog phân công'!$G7&lt;=6,'Backlog phân công'!$H7&gt;=6),"■","")</f>
        <v/>
      </c>
      <c r="L7" s="14" t="str">
        <f aca="false">IF(AND('Backlog phân công'!$G7&lt;=7,'Backlog phân công'!$H7&gt;=7),"■","")</f>
        <v/>
      </c>
      <c r="M7" s="14" t="str">
        <f aca="false">IF(AND('Backlog phân công'!$G7&lt;=8,'Backlog phân công'!$H7&gt;=8),"■","")</f>
        <v/>
      </c>
    </row>
    <row r="8" customFormat="false" ht="41.75" hidden="false" customHeight="false" outlineLevel="0" collapsed="false">
      <c r="A8" s="12" t="str">
        <f aca="false">'Backlog phân công'!A8</f>
        <v>P05</v>
      </c>
      <c r="B8" s="13" t="str">
        <f aca="false">'Backlog phân công'!D8</f>
        <v>Review base code extension (background/content/ui/shared); tạo OAuth client trên Google Cloud; load unpacked chạy được</v>
      </c>
      <c r="C8" s="12" t="str">
        <f aca="false">'Backlog phân công'!E8</f>
        <v>Lê Đăng Sơn</v>
      </c>
      <c r="D8" s="12" t="str">
        <f aca="false">'Backlog phân công'!J8</f>
        <v>P0</v>
      </c>
      <c r="E8" s="12" t="n">
        <f aca="false">'Backlog phân công'!I8</f>
        <v>6</v>
      </c>
      <c r="F8" s="14" t="str">
        <f aca="false">IF(AND('Backlog phân công'!$G8&lt;=1,'Backlog phân công'!$H8&gt;=1),"■","")</f>
        <v>■</v>
      </c>
      <c r="G8" s="14" t="str">
        <f aca="false">IF(AND('Backlog phân công'!$G8&lt;=2,'Backlog phân công'!$H8&gt;=2),"■","")</f>
        <v>■</v>
      </c>
      <c r="H8" s="14" t="str">
        <f aca="false">IF(AND('Backlog phân công'!$G8&lt;=3,'Backlog phân công'!$H8&gt;=3),"■","")</f>
        <v/>
      </c>
      <c r="I8" s="14" t="str">
        <f aca="false">IF(AND('Backlog phân công'!$G8&lt;=4,'Backlog phân công'!$H8&gt;=4),"■","")</f>
        <v/>
      </c>
      <c r="J8" s="14" t="str">
        <f aca="false">IF(AND('Backlog phân công'!$G8&lt;=5,'Backlog phân công'!$H8&gt;=5),"■","")</f>
        <v/>
      </c>
      <c r="K8" s="14" t="str">
        <f aca="false">IF(AND('Backlog phân công'!$G8&lt;=6,'Backlog phân công'!$H8&gt;=6),"■","")</f>
        <v/>
      </c>
      <c r="L8" s="14" t="str">
        <f aca="false">IF(AND('Backlog phân công'!$G8&lt;=7,'Backlog phân công'!$H8&gt;=7),"■","")</f>
        <v/>
      </c>
      <c r="M8" s="14" t="str">
        <f aca="false">IF(AND('Backlog phân công'!$G8&lt;=8,'Backlog phân công'!$H8&gt;=8),"■","")</f>
        <v/>
      </c>
    </row>
    <row r="9" customFormat="false" ht="41.75" hidden="false" customHeight="false" outlineLevel="0" collapsed="false">
      <c r="A9" s="12" t="str">
        <f aca="false">'Backlog phân công'!A9</f>
        <v>P06</v>
      </c>
      <c r="B9" s="13" t="str">
        <f aca="false">'Backlog phân công'!D9</f>
        <v>Review base code backend: infrastructure/ (config, logging, jobs, security), data/database, presentation/api (deps, lỗi, middleware); docker-compose; migration 0001</v>
      </c>
      <c r="C9" s="12" t="str">
        <f aca="false">'Backlog phân công'!E9</f>
        <v>Trịnh Mạnh Quang</v>
      </c>
      <c r="D9" s="12" t="str">
        <f aca="false">'Backlog phân công'!J9</f>
        <v>P0</v>
      </c>
      <c r="E9" s="12" t="n">
        <f aca="false">'Backlog phân công'!I9</f>
        <v>6</v>
      </c>
      <c r="F9" s="14" t="str">
        <f aca="false">IF(AND('Backlog phân công'!$G9&lt;=1,'Backlog phân công'!$H9&gt;=1),"■","")</f>
        <v>■</v>
      </c>
      <c r="G9" s="14" t="str">
        <f aca="false">IF(AND('Backlog phân công'!$G9&lt;=2,'Backlog phân công'!$H9&gt;=2),"■","")</f>
        <v>■</v>
      </c>
      <c r="H9" s="14" t="str">
        <f aca="false">IF(AND('Backlog phân công'!$G9&lt;=3,'Backlog phân công'!$H9&gt;=3),"■","")</f>
        <v/>
      </c>
      <c r="I9" s="14" t="str">
        <f aca="false">IF(AND('Backlog phân công'!$G9&lt;=4,'Backlog phân công'!$H9&gt;=4),"■","")</f>
        <v/>
      </c>
      <c r="J9" s="14" t="str">
        <f aca="false">IF(AND('Backlog phân công'!$G9&lt;=5,'Backlog phân công'!$H9&gt;=5),"■","")</f>
        <v/>
      </c>
      <c r="K9" s="14" t="str">
        <f aca="false">IF(AND('Backlog phân công'!$G9&lt;=6,'Backlog phân công'!$H9&gt;=6),"■","")</f>
        <v/>
      </c>
      <c r="L9" s="14" t="str">
        <f aca="false">IF(AND('Backlog phân công'!$G9&lt;=7,'Backlog phân công'!$H9&gt;=7),"■","")</f>
        <v/>
      </c>
      <c r="M9" s="14" t="str">
        <f aca="false">IF(AND('Backlog phân công'!$G9&lt;=8,'Backlog phân công'!$H9&gt;=8),"■","")</f>
        <v/>
      </c>
    </row>
    <row r="10" customFormat="false" ht="28.35" hidden="false" customHeight="false" outlineLevel="0" collapsed="false">
      <c r="A10" s="12" t="str">
        <f aca="false">'Backlog phân công'!A10</f>
        <v>P07</v>
      </c>
      <c r="B10" s="13" t="str">
        <f aca="false">'Backlog phân công'!D10</f>
        <v>Review AI adapter (port, mock, openai); thêm test adapter OpenAI bằng HTTP mock (429/5xx/timeout)</v>
      </c>
      <c r="C10" s="12" t="str">
        <f aca="false">'Backlog phân công'!E10</f>
        <v>Mai Đức Vinh</v>
      </c>
      <c r="D10" s="12" t="str">
        <f aca="false">'Backlog phân công'!J10</f>
        <v>P0</v>
      </c>
      <c r="E10" s="12" t="n">
        <f aca="false">'Backlog phân công'!I10</f>
        <v>6</v>
      </c>
      <c r="F10" s="14" t="str">
        <f aca="false">IF(AND('Backlog phân công'!$G10&lt;=1,'Backlog phân công'!$H10&gt;=1),"■","")</f>
        <v>■</v>
      </c>
      <c r="G10" s="14" t="str">
        <f aca="false">IF(AND('Backlog phân công'!$G10&lt;=2,'Backlog phân công'!$H10&gt;=2),"■","")</f>
        <v>■</v>
      </c>
      <c r="H10" s="14" t="str">
        <f aca="false">IF(AND('Backlog phân công'!$G10&lt;=3,'Backlog phân công'!$H10&gt;=3),"■","")</f>
        <v/>
      </c>
      <c r="I10" s="14" t="str">
        <f aca="false">IF(AND('Backlog phân công'!$G10&lt;=4,'Backlog phân công'!$H10&gt;=4),"■","")</f>
        <v/>
      </c>
      <c r="J10" s="14" t="str">
        <f aca="false">IF(AND('Backlog phân công'!$G10&lt;=5,'Backlog phân công'!$H10&gt;=5),"■","")</f>
        <v/>
      </c>
      <c r="K10" s="14" t="str">
        <f aca="false">IF(AND('Backlog phân công'!$G10&lt;=6,'Backlog phân công'!$H10&gt;=6),"■","")</f>
        <v/>
      </c>
      <c r="L10" s="14" t="str">
        <f aca="false">IF(AND('Backlog phân công'!$G10&lt;=7,'Backlog phân công'!$H10&gt;=7),"■","")</f>
        <v/>
      </c>
      <c r="M10" s="14" t="str">
        <f aca="false">IF(AND('Backlog phân công'!$G10&lt;=8,'Backlog phân công'!$H10&gt;=8),"■","")</f>
        <v/>
      </c>
    </row>
    <row r="11" customFormat="false" ht="28.35" hidden="false" customHeight="false" outlineLevel="0" collapsed="false">
      <c r="A11" s="12" t="str">
        <f aca="false">'Backlog phân công'!A11</f>
        <v>P08</v>
      </c>
      <c r="B11" s="13" t="str">
        <f aca="false">'Backlog phân công'!D11</f>
        <v>Test strategy + ma trận truy vết (RTM) từ FR trong SDS → test case; Definition of Done</v>
      </c>
      <c r="C11" s="12" t="str">
        <f aca="false">'Backlog phân công'!E11</f>
        <v>Trần Thùy Dương</v>
      </c>
      <c r="D11" s="12" t="str">
        <f aca="false">'Backlog phân công'!J11</f>
        <v>P0</v>
      </c>
      <c r="E11" s="12" t="n">
        <f aca="false">'Backlog phân công'!I11</f>
        <v>6</v>
      </c>
      <c r="F11" s="14" t="str">
        <f aca="false">IF(AND('Backlog phân công'!$G11&lt;=1,'Backlog phân công'!$H11&gt;=1),"■","")</f>
        <v>■</v>
      </c>
      <c r="G11" s="14" t="str">
        <f aca="false">IF(AND('Backlog phân công'!$G11&lt;=2,'Backlog phân công'!$H11&gt;=2),"■","")</f>
        <v>■</v>
      </c>
      <c r="H11" s="14" t="str">
        <f aca="false">IF(AND('Backlog phân công'!$G11&lt;=3,'Backlog phân công'!$H11&gt;=3),"■","")</f>
        <v/>
      </c>
      <c r="I11" s="14" t="str">
        <f aca="false">IF(AND('Backlog phân công'!$G11&lt;=4,'Backlog phân công'!$H11&gt;=4),"■","")</f>
        <v/>
      </c>
      <c r="J11" s="14" t="str">
        <f aca="false">IF(AND('Backlog phân công'!$G11&lt;=5,'Backlog phân công'!$H11&gt;=5),"■","")</f>
        <v/>
      </c>
      <c r="K11" s="14" t="str">
        <f aca="false">IF(AND('Backlog phân công'!$G11&lt;=6,'Backlog phân công'!$H11&gt;=6),"■","")</f>
        <v/>
      </c>
      <c r="L11" s="14" t="str">
        <f aca="false">IF(AND('Backlog phân công'!$G11&lt;=7,'Backlog phân công'!$H11&gt;=7),"■","")</f>
        <v/>
      </c>
      <c r="M11" s="14" t="str">
        <f aca="false">IF(AND('Backlog phân công'!$G11&lt;=8,'Backlog phân công'!$H11&gt;=8),"■","")</f>
        <v/>
      </c>
    </row>
    <row r="12" customFormat="false" ht="28.35" hidden="false" customHeight="false" outlineLevel="0" collapsed="false">
      <c r="A12" s="12" t="str">
        <f aca="false">'Backlog phân công'!A12</f>
        <v>P09</v>
      </c>
      <c r="B12" s="13" t="str">
        <f aca="false">'Backlog phân công'!D12</f>
        <v>Bật branch protection main/dev, điền GitHub username vào CODEOWNERS, CI xanh trên PR đầu tiên</v>
      </c>
      <c r="C12" s="12" t="str">
        <f aca="false">'Backlog phân công'!E12</f>
        <v>Lê Đăng Sơn</v>
      </c>
      <c r="D12" s="12" t="str">
        <f aca="false">'Backlog phân công'!J12</f>
        <v>P0</v>
      </c>
      <c r="E12" s="12" t="n">
        <f aca="false">'Backlog phân công'!I12</f>
        <v>3</v>
      </c>
      <c r="F12" s="14" t="str">
        <f aca="false">IF(AND('Backlog phân công'!$G12&lt;=1,'Backlog phân công'!$H12&gt;=1),"■","")</f>
        <v>■</v>
      </c>
      <c r="G12" s="14" t="str">
        <f aca="false">IF(AND('Backlog phân công'!$G12&lt;=2,'Backlog phân công'!$H12&gt;=2),"■","")</f>
        <v/>
      </c>
      <c r="H12" s="14" t="str">
        <f aca="false">IF(AND('Backlog phân công'!$G12&lt;=3,'Backlog phân công'!$H12&gt;=3),"■","")</f>
        <v/>
      </c>
      <c r="I12" s="14" t="str">
        <f aca="false">IF(AND('Backlog phân công'!$G12&lt;=4,'Backlog phân công'!$H12&gt;=4),"■","")</f>
        <v/>
      </c>
      <c r="J12" s="14" t="str">
        <f aca="false">IF(AND('Backlog phân công'!$G12&lt;=5,'Backlog phân công'!$H12&gt;=5),"■","")</f>
        <v/>
      </c>
      <c r="K12" s="14" t="str">
        <f aca="false">IF(AND('Backlog phân công'!$G12&lt;=6,'Backlog phân công'!$H12&gt;=6),"■","")</f>
        <v/>
      </c>
      <c r="L12" s="14" t="str">
        <f aca="false">IF(AND('Backlog phân công'!$G12&lt;=7,'Backlog phân công'!$H12&gt;=7),"■","")</f>
        <v/>
      </c>
      <c r="M12" s="14" t="str">
        <f aca="false">IF(AND('Backlog phân công'!$G12&lt;=8,'Backlog phân công'!$H12&gt;=8),"■","")</f>
        <v/>
      </c>
    </row>
    <row r="13" customFormat="false" ht="55.2" hidden="false" customHeight="false" outlineLevel="0" collapsed="false">
      <c r="A13" s="12" t="str">
        <f aca="false">'Backlog phân công'!A13</f>
        <v>D01</v>
      </c>
      <c r="B13" s="13" t="str">
        <f aca="false">'Backlog phân công'!D13</f>
        <v>Cập nhật SDS theo docs/architecture/sds-review.md (11 điểm): bỏ chữ microservice ở §5.2, vẽ lại Hình 1 có QuotaService + repositories + AI adapter, thiết kế dữ liệu §6, trade-off</v>
      </c>
      <c r="C13" s="12" t="str">
        <f aca="false">'Backlog phân công'!E13</f>
        <v>Lê Đăng Sơn</v>
      </c>
      <c r="D13" s="12" t="str">
        <f aca="false">'Backlog phân công'!J13</f>
        <v>P0</v>
      </c>
      <c r="E13" s="12" t="n">
        <f aca="false">'Backlog phân công'!I13</f>
        <v>4</v>
      </c>
      <c r="F13" s="14" t="str">
        <f aca="false">IF(AND('Backlog phân công'!$G13&lt;=1,'Backlog phân công'!$H13&gt;=1),"■","")</f>
        <v>■</v>
      </c>
      <c r="G13" s="14" t="str">
        <f aca="false">IF(AND('Backlog phân công'!$G13&lt;=2,'Backlog phân công'!$H13&gt;=2),"■","")</f>
        <v>■</v>
      </c>
      <c r="H13" s="14" t="str">
        <f aca="false">IF(AND('Backlog phân công'!$G13&lt;=3,'Backlog phân công'!$H13&gt;=3),"■","")</f>
        <v/>
      </c>
      <c r="I13" s="14" t="str">
        <f aca="false">IF(AND('Backlog phân công'!$G13&lt;=4,'Backlog phân công'!$H13&gt;=4),"■","")</f>
        <v/>
      </c>
      <c r="J13" s="14" t="str">
        <f aca="false">IF(AND('Backlog phân công'!$G13&lt;=5,'Backlog phân công'!$H13&gt;=5),"■","")</f>
        <v/>
      </c>
      <c r="K13" s="14" t="str">
        <f aca="false">IF(AND('Backlog phân công'!$G13&lt;=6,'Backlog phân công'!$H13&gt;=6),"■","")</f>
        <v/>
      </c>
      <c r="L13" s="14" t="str">
        <f aca="false">IF(AND('Backlog phân công'!$G13&lt;=7,'Backlog phân công'!$H13&gt;=7),"■","")</f>
        <v/>
      </c>
      <c r="M13" s="14" t="str">
        <f aca="false">IF(AND('Backlog phân công'!$G13&lt;=8,'Backlog phân công'!$H13&gt;=8),"■","")</f>
        <v/>
      </c>
    </row>
    <row r="14" customFormat="false" ht="28.35" hidden="false" customHeight="false" outlineLevel="0" collapsed="false">
      <c r="A14" s="12" t="str">
        <f aca="false">'Backlog phân công'!A14</f>
        <v>A01</v>
      </c>
      <c r="B14" s="13" t="str">
        <f aca="false">'Backlog phân công'!D14</f>
        <v>Review data/models + migration 0001, vẽ ERD (khớp SDS §6); quy ước migration theo service</v>
      </c>
      <c r="C14" s="12" t="str">
        <f aca="false">'Backlog phân công'!E14</f>
        <v>Trịnh Mạnh Quang</v>
      </c>
      <c r="D14" s="12" t="str">
        <f aca="false">'Backlog phân công'!J14</f>
        <v>P0</v>
      </c>
      <c r="E14" s="12" t="n">
        <f aca="false">'Backlog phân công'!I14</f>
        <v>4</v>
      </c>
      <c r="F14" s="14" t="str">
        <f aca="false">IF(AND('Backlog phân công'!$G14&lt;=1,'Backlog phân công'!$H14&gt;=1),"■","")</f>
        <v/>
      </c>
      <c r="G14" s="14" t="str">
        <f aca="false">IF(AND('Backlog phân công'!$G14&lt;=2,'Backlog phân công'!$H14&gt;=2),"■","")</f>
        <v>■</v>
      </c>
      <c r="H14" s="14" t="str">
        <f aca="false">IF(AND('Backlog phân công'!$G14&lt;=3,'Backlog phân công'!$H14&gt;=3),"■","")</f>
        <v/>
      </c>
      <c r="I14" s="14" t="str">
        <f aca="false">IF(AND('Backlog phân công'!$G14&lt;=4,'Backlog phân công'!$H14&gt;=4),"■","")</f>
        <v/>
      </c>
      <c r="J14" s="14" t="str">
        <f aca="false">IF(AND('Backlog phân công'!$G14&lt;=5,'Backlog phân công'!$H14&gt;=5),"■","")</f>
        <v/>
      </c>
      <c r="K14" s="14" t="str">
        <f aca="false">IF(AND('Backlog phân công'!$G14&lt;=6,'Backlog phân công'!$H14&gt;=6),"■","")</f>
        <v/>
      </c>
      <c r="L14" s="14" t="str">
        <f aca="false">IF(AND('Backlog phân công'!$G14&lt;=7,'Backlog phân công'!$H14&gt;=7),"■","")</f>
        <v/>
      </c>
      <c r="M14" s="14" t="str">
        <f aca="false">IF(AND('Backlog phân công'!$G14&lt;=8,'Backlog phân công'!$H14&gt;=8),"■","")</f>
        <v/>
      </c>
    </row>
    <row r="15" customFormat="false" ht="28.35" hidden="false" customHeight="false" outlineLevel="0" collapsed="false">
      <c r="A15" s="12" t="str">
        <f aca="false">'Backlog phân công'!A15</f>
        <v>A02</v>
      </c>
      <c r="B15" s="13" t="str">
        <f aca="false">'Backlog phân công'!D15</f>
        <v>Hoàn thiện Google OAuth backend: exchange code, verify id_token (JWKS), refresh xoay vòng, test với id_token giả lập</v>
      </c>
      <c r="C15" s="12" t="str">
        <f aca="false">'Backlog phân công'!E15</f>
        <v>Trịnh Mạnh Quang</v>
      </c>
      <c r="D15" s="12" t="str">
        <f aca="false">'Backlog phân công'!J15</f>
        <v>P0</v>
      </c>
      <c r="E15" s="12" t="n">
        <f aca="false">'Backlog phân công'!I15</f>
        <v>8</v>
      </c>
      <c r="F15" s="14" t="str">
        <f aca="false">IF(AND('Backlog phân công'!$G15&lt;=1,'Backlog phân công'!$H15&gt;=1),"■","")</f>
        <v/>
      </c>
      <c r="G15" s="14" t="str">
        <f aca="false">IF(AND('Backlog phân công'!$G15&lt;=2,'Backlog phân công'!$H15&gt;=2),"■","")</f>
        <v>■</v>
      </c>
      <c r="H15" s="14" t="str">
        <f aca="false">IF(AND('Backlog phân công'!$G15&lt;=3,'Backlog phân công'!$H15&gt;=3),"■","")</f>
        <v>■</v>
      </c>
      <c r="I15" s="14" t="str">
        <f aca="false">IF(AND('Backlog phân công'!$G15&lt;=4,'Backlog phân công'!$H15&gt;=4),"■","")</f>
        <v/>
      </c>
      <c r="J15" s="14" t="str">
        <f aca="false">IF(AND('Backlog phân công'!$G15&lt;=5,'Backlog phân công'!$H15&gt;=5),"■","")</f>
        <v/>
      </c>
      <c r="K15" s="14" t="str">
        <f aca="false">IF(AND('Backlog phân công'!$G15&lt;=6,'Backlog phân công'!$H15&gt;=6),"■","")</f>
        <v/>
      </c>
      <c r="L15" s="14" t="str">
        <f aca="false">IF(AND('Backlog phân công'!$G15&lt;=7,'Backlog phân công'!$H15&gt;=7),"■","")</f>
        <v/>
      </c>
      <c r="M15" s="14" t="str">
        <f aca="false">IF(AND('Backlog phân công'!$G15&lt;=8,'Backlog phân công'!$H15&gt;=8),"■","")</f>
        <v/>
      </c>
    </row>
    <row r="16" customFormat="false" ht="28.35" hidden="false" customHeight="false" outlineLevel="0" collapsed="false">
      <c r="A16" s="12" t="str">
        <f aca="false">'Backlog phân công'!A16</f>
        <v>A03</v>
      </c>
      <c r="B16" s="13" t="str">
        <f aca="false">'Backlog phân công'!D16</f>
        <v>Google OAuth trên extension: launchWebAuthFlow + PKCE, lưu session, refresh single-flight, logout</v>
      </c>
      <c r="C16" s="12" t="str">
        <f aca="false">'Backlog phân công'!E16</f>
        <v>Lê Đăng Sơn</v>
      </c>
      <c r="D16" s="12" t="str">
        <f aca="false">'Backlog phân công'!J16</f>
        <v>P0</v>
      </c>
      <c r="E16" s="12" t="n">
        <f aca="false">'Backlog phân công'!I16</f>
        <v>8</v>
      </c>
      <c r="F16" s="14" t="str">
        <f aca="false">IF(AND('Backlog phân công'!$G16&lt;=1,'Backlog phân công'!$H16&gt;=1),"■","")</f>
        <v/>
      </c>
      <c r="G16" s="14" t="str">
        <f aca="false">IF(AND('Backlog phân công'!$G16&lt;=2,'Backlog phân công'!$H16&gt;=2),"■","")</f>
        <v>■</v>
      </c>
      <c r="H16" s="14" t="str">
        <f aca="false">IF(AND('Backlog phân công'!$G16&lt;=3,'Backlog phân công'!$H16&gt;=3),"■","")</f>
        <v>■</v>
      </c>
      <c r="I16" s="14" t="str">
        <f aca="false">IF(AND('Backlog phân công'!$G16&lt;=4,'Backlog phân công'!$H16&gt;=4),"■","")</f>
        <v/>
      </c>
      <c r="J16" s="14" t="str">
        <f aca="false">IF(AND('Backlog phân công'!$G16&lt;=5,'Backlog phân công'!$H16&gt;=5),"■","")</f>
        <v/>
      </c>
      <c r="K16" s="14" t="str">
        <f aca="false">IF(AND('Backlog phân công'!$G16&lt;=6,'Backlog phân công'!$H16&gt;=6),"■","")</f>
        <v/>
      </c>
      <c r="L16" s="14" t="str">
        <f aca="false">IF(AND('Backlog phân công'!$G16&lt;=7,'Backlog phân công'!$H16&gt;=7),"■","")</f>
        <v/>
      </c>
      <c r="M16" s="14" t="str">
        <f aca="false">IF(AND('Backlog phân công'!$G16&lt;=8,'Backlog phân công'!$H16&gt;=8),"■","")</f>
        <v/>
      </c>
    </row>
    <row r="17" customFormat="false" ht="28.35" hidden="false" customHeight="false" outlineLevel="0" collapsed="false">
      <c r="A17" s="12" t="str">
        <f aca="false">'Backlog phân công'!A17</f>
        <v>A04</v>
      </c>
      <c r="B17" s="13" t="str">
        <f aca="false">'Backlog phân công'!D17</f>
        <v>Hoàn thiện quota reserve/commit/release, GET /me/quota, test đồng thời (race) và chống trừ trùng</v>
      </c>
      <c r="C17" s="12" t="str">
        <f aca="false">'Backlog phân công'!E17</f>
        <v>Mai Đức Vinh</v>
      </c>
      <c r="D17" s="12" t="str">
        <f aca="false">'Backlog phân công'!J17</f>
        <v>P0</v>
      </c>
      <c r="E17" s="12" t="n">
        <f aca="false">'Backlog phân công'!I17</f>
        <v>8</v>
      </c>
      <c r="F17" s="14" t="str">
        <f aca="false">IF(AND('Backlog phân công'!$G17&lt;=1,'Backlog phân công'!$H17&gt;=1),"■","")</f>
        <v/>
      </c>
      <c r="G17" s="14" t="str">
        <f aca="false">IF(AND('Backlog phân công'!$G17&lt;=2,'Backlog phân công'!$H17&gt;=2),"■","")</f>
        <v>■</v>
      </c>
      <c r="H17" s="14" t="str">
        <f aca="false">IF(AND('Backlog phân công'!$G17&lt;=3,'Backlog phân công'!$H17&gt;=3),"■","")</f>
        <v>■</v>
      </c>
      <c r="I17" s="14" t="str">
        <f aca="false">IF(AND('Backlog phân công'!$G17&lt;=4,'Backlog phân công'!$H17&gt;=4),"■","")</f>
        <v/>
      </c>
      <c r="J17" s="14" t="str">
        <f aca="false">IF(AND('Backlog phân công'!$G17&lt;=5,'Backlog phân công'!$H17&gt;=5),"■","")</f>
        <v/>
      </c>
      <c r="K17" s="14" t="str">
        <f aca="false">IF(AND('Backlog phân công'!$G17&lt;=6,'Backlog phân công'!$H17&gt;=6),"■","")</f>
        <v/>
      </c>
      <c r="L17" s="14" t="str">
        <f aca="false">IF(AND('Backlog phân công'!$G17&lt;=7,'Backlog phân công'!$H17&gt;=7),"■","")</f>
        <v/>
      </c>
      <c r="M17" s="14" t="str">
        <f aca="false">IF(AND('Backlog phân công'!$G17&lt;=8,'Backlog phân công'!$H17&gt;=8),"■","")</f>
        <v/>
      </c>
    </row>
    <row r="18" customFormat="false" ht="41.75" hidden="false" customHeight="false" outlineLevel="0" collapsed="false">
      <c r="A18" s="12" t="str">
        <f aca="false">'Backlog phân công'!A18</f>
        <v>A05</v>
      </c>
      <c r="B18" s="13" t="str">
        <f aca="false">'Backlog phân công'!D18</f>
        <v>Design system + app shell: token màu, Button/Spinner/Empty/Error/Toast/Modal, điều hướng bàn phím</v>
      </c>
      <c r="C18" s="12" t="str">
        <f aca="false">'Backlog phân công'!E18</f>
        <v>Trần Thùy Dương</v>
      </c>
      <c r="D18" s="12" t="str">
        <f aca="false">'Backlog phân công'!J18</f>
        <v>P0</v>
      </c>
      <c r="E18" s="12" t="n">
        <f aca="false">'Backlog phân công'!I18</f>
        <v>8</v>
      </c>
      <c r="F18" s="14" t="str">
        <f aca="false">IF(AND('Backlog phân công'!$G18&lt;=1,'Backlog phân công'!$H18&gt;=1),"■","")</f>
        <v/>
      </c>
      <c r="G18" s="14" t="str">
        <f aca="false">IF(AND('Backlog phân công'!$G18&lt;=2,'Backlog phân công'!$H18&gt;=2),"■","")</f>
        <v>■</v>
      </c>
      <c r="H18" s="14" t="str">
        <f aca="false">IF(AND('Backlog phân công'!$G18&lt;=3,'Backlog phân công'!$H18&gt;=3),"■","")</f>
        <v>■</v>
      </c>
      <c r="I18" s="14" t="str">
        <f aca="false">IF(AND('Backlog phân công'!$G18&lt;=4,'Backlog phân công'!$H18&gt;=4),"■","")</f>
        <v/>
      </c>
      <c r="J18" s="14" t="str">
        <f aca="false">IF(AND('Backlog phân công'!$G18&lt;=5,'Backlog phân công'!$H18&gt;=5),"■","")</f>
        <v/>
      </c>
      <c r="K18" s="14" t="str">
        <f aca="false">IF(AND('Backlog phân công'!$G18&lt;=6,'Backlog phân công'!$H18&gt;=6),"■","")</f>
        <v/>
      </c>
      <c r="L18" s="14" t="str">
        <f aca="false">IF(AND('Backlog phân công'!$G18&lt;=7,'Backlog phân công'!$H18&gt;=7),"■","")</f>
        <v/>
      </c>
      <c r="M18" s="14" t="str">
        <f aca="false">IF(AND('Backlog phân công'!$G18&lt;=8,'Backlog phân công'!$H18&gt;=8),"■","")</f>
        <v/>
      </c>
    </row>
    <row r="19" customFormat="false" ht="28.35" hidden="false" customHeight="false" outlineLevel="0" collapsed="false">
      <c r="A19" s="12" t="str">
        <f aca="false">'Backlog phân công'!A19</f>
        <v>A06</v>
      </c>
      <c r="B19" s="13" t="str">
        <f aca="false">'Backlog phân công'!D19</f>
        <v>GET /me, DELETE /me: xoá tài khoản + toàn bộ dữ liệu trong 1 transaction (SDS §5.1.5) — task MỚI</v>
      </c>
      <c r="C19" s="12" t="str">
        <f aca="false">'Backlog phân công'!E19</f>
        <v>Trịnh Mạnh Quang</v>
      </c>
      <c r="D19" s="12" t="str">
        <f aca="false">'Backlog phân công'!J19</f>
        <v>P0</v>
      </c>
      <c r="E19" s="12" t="n">
        <f aca="false">'Backlog phân công'!I19</f>
        <v>4</v>
      </c>
      <c r="F19" s="14" t="str">
        <f aca="false">IF(AND('Backlog phân công'!$G19&lt;=1,'Backlog phân công'!$H19&gt;=1),"■","")</f>
        <v/>
      </c>
      <c r="G19" s="14" t="str">
        <f aca="false">IF(AND('Backlog phân công'!$G19&lt;=2,'Backlog phân công'!$H19&gt;=2),"■","")</f>
        <v/>
      </c>
      <c r="H19" s="14" t="str">
        <f aca="false">IF(AND('Backlog phân công'!$G19&lt;=3,'Backlog phân công'!$H19&gt;=3),"■","")</f>
        <v>■</v>
      </c>
      <c r="I19" s="14" t="str">
        <f aca="false">IF(AND('Backlog phân công'!$G19&lt;=4,'Backlog phân công'!$H19&gt;=4),"■","")</f>
        <v/>
      </c>
      <c r="J19" s="14" t="str">
        <f aca="false">IF(AND('Backlog phân công'!$G19&lt;=5,'Backlog phân công'!$H19&gt;=5),"■","")</f>
        <v/>
      </c>
      <c r="K19" s="14" t="str">
        <f aca="false">IF(AND('Backlog phân công'!$G19&lt;=6,'Backlog phân công'!$H19&gt;=6),"■","")</f>
        <v/>
      </c>
      <c r="L19" s="14" t="str">
        <f aca="false">IF(AND('Backlog phân công'!$G19&lt;=7,'Backlog phân công'!$H19&gt;=7),"■","")</f>
        <v/>
      </c>
      <c r="M19" s="14" t="str">
        <f aca="false">IF(AND('Backlog phân công'!$G19&lt;=8,'Backlog phân công'!$H19&gt;=8),"■","")</f>
        <v/>
      </c>
    </row>
    <row r="20" customFormat="false" ht="28.35" hidden="false" customHeight="false" outlineLevel="0" collapsed="false">
      <c r="A20" s="12" t="str">
        <f aca="false">'Backlog phân công'!A20</f>
        <v>A07</v>
      </c>
      <c r="B20" s="13" t="str">
        <f aca="false">'Backlog phân công'!D20</f>
        <v>Log JSON có request_id, che dữ liệu nhạy cảm, log lỗi &amp; hoạt động chính (FR ghi log) — task MỚI</v>
      </c>
      <c r="C20" s="12" t="str">
        <f aca="false">'Backlog phân công'!E20</f>
        <v>Trịnh Mạnh Quang</v>
      </c>
      <c r="D20" s="12" t="str">
        <f aca="false">'Backlog phân công'!J20</f>
        <v>P0</v>
      </c>
      <c r="E20" s="12" t="n">
        <f aca="false">'Backlog phân công'!I20</f>
        <v>4</v>
      </c>
      <c r="F20" s="14" t="str">
        <f aca="false">IF(AND('Backlog phân công'!$G20&lt;=1,'Backlog phân công'!$H20&gt;=1),"■","")</f>
        <v/>
      </c>
      <c r="G20" s="14" t="str">
        <f aca="false">IF(AND('Backlog phân công'!$G20&lt;=2,'Backlog phân công'!$H20&gt;=2),"■","")</f>
        <v/>
      </c>
      <c r="H20" s="14" t="str">
        <f aca="false">IF(AND('Backlog phân công'!$G20&lt;=3,'Backlog phân công'!$H20&gt;=3),"■","")</f>
        <v>■</v>
      </c>
      <c r="I20" s="14" t="str">
        <f aca="false">IF(AND('Backlog phân công'!$G20&lt;=4,'Backlog phân công'!$H20&gt;=4),"■","")</f>
        <v/>
      </c>
      <c r="J20" s="14" t="str">
        <f aca="false">IF(AND('Backlog phân công'!$G20&lt;=5,'Backlog phân công'!$H20&gt;=5),"■","")</f>
        <v/>
      </c>
      <c r="K20" s="14" t="str">
        <f aca="false">IF(AND('Backlog phân công'!$G20&lt;=6,'Backlog phân công'!$H20&gt;=6),"■","")</f>
        <v/>
      </c>
      <c r="L20" s="14" t="str">
        <f aca="false">IF(AND('Backlog phân công'!$G20&lt;=7,'Backlog phân công'!$H20&gt;=7),"■","")</f>
        <v/>
      </c>
      <c r="M20" s="14" t="str">
        <f aca="false">IF(AND('Backlog phân công'!$G20&lt;=8,'Backlog phân công'!$H20&gt;=8),"■","")</f>
        <v/>
      </c>
    </row>
    <row r="21" customFormat="false" ht="28.35" hidden="false" customHeight="false" outlineLevel="0" collapsed="false">
      <c r="A21" s="12" t="str">
        <f aca="false">'Backlog phân công'!A21</f>
        <v>SUM-01</v>
      </c>
      <c r="B21" s="13" t="str">
        <f aca="false">'Backlog phân công'!D21</f>
        <v>Đặc tả tóm tắt (thay G01): đầu vào (note/vùng chọn), độ dài, prompt chống injection, quota, xác nhận trước khi lưu</v>
      </c>
      <c r="C21" s="12" t="str">
        <f aca="false">'Backlog phân công'!E21</f>
        <v>Mai Đức Vinh</v>
      </c>
      <c r="D21" s="12" t="str">
        <f aca="false">'Backlog phân công'!J21</f>
        <v>P0</v>
      </c>
      <c r="E21" s="12" t="n">
        <f aca="false">'Backlog phân công'!I21</f>
        <v>4</v>
      </c>
      <c r="F21" s="14" t="str">
        <f aca="false">IF(AND('Backlog phân công'!$G21&lt;=1,'Backlog phân công'!$H21&gt;=1),"■","")</f>
        <v/>
      </c>
      <c r="G21" s="14" t="str">
        <f aca="false">IF(AND('Backlog phân công'!$G21&lt;=2,'Backlog phân công'!$H21&gt;=2),"■","")</f>
        <v>■</v>
      </c>
      <c r="H21" s="14" t="str">
        <f aca="false">IF(AND('Backlog phân công'!$G21&lt;=3,'Backlog phân công'!$H21&gt;=3),"■","")</f>
        <v/>
      </c>
      <c r="I21" s="14" t="str">
        <f aca="false">IF(AND('Backlog phân công'!$G21&lt;=4,'Backlog phân công'!$H21&gt;=4),"■","")</f>
        <v/>
      </c>
      <c r="J21" s="14" t="str">
        <f aca="false">IF(AND('Backlog phân công'!$G21&lt;=5,'Backlog phân công'!$H21&gt;=5),"■","")</f>
        <v/>
      </c>
      <c r="K21" s="14" t="str">
        <f aca="false">IF(AND('Backlog phân công'!$G21&lt;=6,'Backlog phân công'!$H21&gt;=6),"■","")</f>
        <v/>
      </c>
      <c r="L21" s="14" t="str">
        <f aca="false">IF(AND('Backlog phân công'!$G21&lt;=7,'Backlog phân công'!$H21&gt;=7),"■","")</f>
        <v/>
      </c>
      <c r="M21" s="14" t="str">
        <f aca="false">IF(AND('Backlog phân công'!$G21&lt;=8,'Backlog phân công'!$H21&gt;=8),"■","")</f>
        <v/>
      </c>
    </row>
    <row r="22" customFormat="false" ht="41.75" hidden="false" customHeight="false" outlineLevel="0" collapsed="false">
      <c r="A22" s="12" t="str">
        <f aca="false">'Backlog phân công'!A22</f>
        <v>N01</v>
      </c>
      <c r="B22" s="13" t="str">
        <f aca="false">'Backlog phân công'!D22</f>
        <v>Bắt vùng chọn: menu chuột phải + Ctrl+Alt+N qua chrome.scripting/activeTab (không content script thường trực)</v>
      </c>
      <c r="C22" s="12" t="str">
        <f aca="false">'Backlog phân công'!E22</f>
        <v>Lê Đăng Sơn</v>
      </c>
      <c r="D22" s="12" t="str">
        <f aca="false">'Backlog phân công'!J22</f>
        <v>P0</v>
      </c>
      <c r="E22" s="12" t="n">
        <f aca="false">'Backlog phân công'!I22</f>
        <v>6</v>
      </c>
      <c r="F22" s="14" t="str">
        <f aca="false">IF(AND('Backlog phân công'!$G22&lt;=1,'Backlog phân công'!$H22&gt;=1),"■","")</f>
        <v/>
      </c>
      <c r="G22" s="14" t="str">
        <f aca="false">IF(AND('Backlog phân công'!$G22&lt;=2,'Backlog phân công'!$H22&gt;=2),"■","")</f>
        <v/>
      </c>
      <c r="H22" s="14" t="str">
        <f aca="false">IF(AND('Backlog phân công'!$G22&lt;=3,'Backlog phân công'!$H22&gt;=3),"■","")</f>
        <v>■</v>
      </c>
      <c r="I22" s="14" t="str">
        <f aca="false">IF(AND('Backlog phân công'!$G22&lt;=4,'Backlog phân công'!$H22&gt;=4),"■","")</f>
        <v/>
      </c>
      <c r="J22" s="14" t="str">
        <f aca="false">IF(AND('Backlog phân công'!$G22&lt;=5,'Backlog phân công'!$H22&gt;=5),"■","")</f>
        <v/>
      </c>
      <c r="K22" s="14" t="str">
        <f aca="false">IF(AND('Backlog phân công'!$G22&lt;=6,'Backlog phân công'!$H22&gt;=6),"■","")</f>
        <v/>
      </c>
      <c r="L22" s="14" t="str">
        <f aca="false">IF(AND('Backlog phân công'!$G22&lt;=7,'Backlog phân công'!$H22&gt;=7),"■","")</f>
        <v/>
      </c>
      <c r="M22" s="14" t="str">
        <f aca="false">IF(AND('Backlog phân công'!$G22&lt;=8,'Backlog phân công'!$H22&gt;=8),"■","")</f>
        <v/>
      </c>
    </row>
    <row r="23" customFormat="false" ht="28.35" hidden="false" customHeight="false" outlineLevel="0" collapsed="false">
      <c r="A23" s="12" t="str">
        <f aca="false">'Backlog phân công'!A23</f>
        <v>N02</v>
      </c>
      <c r="B23" s="13" t="str">
        <f aca="false">'Backlog phân công'!D23</f>
        <v>Toast đếm ngược 5s + Hoàn tác (nút &amp; Ctrl+Alt+Z), Shadow DOM không vỡ CSS trang (Dương duyệt giao diện)</v>
      </c>
      <c r="C23" s="12" t="str">
        <f aca="false">'Backlog phân công'!E23</f>
        <v>Lê Đăng Sơn</v>
      </c>
      <c r="D23" s="12" t="str">
        <f aca="false">'Backlog phân công'!J23</f>
        <v>P0</v>
      </c>
      <c r="E23" s="12" t="n">
        <f aca="false">'Backlog phân công'!I23</f>
        <v>6</v>
      </c>
      <c r="F23" s="14" t="str">
        <f aca="false">IF(AND('Backlog phân công'!$G23&lt;=1,'Backlog phân công'!$H23&gt;=1),"■","")</f>
        <v/>
      </c>
      <c r="G23" s="14" t="str">
        <f aca="false">IF(AND('Backlog phân công'!$G23&lt;=2,'Backlog phân công'!$H23&gt;=2),"■","")</f>
        <v/>
      </c>
      <c r="H23" s="14" t="str">
        <f aca="false">IF(AND('Backlog phân công'!$G23&lt;=3,'Backlog phân công'!$H23&gt;=3),"■","")</f>
        <v>■</v>
      </c>
      <c r="I23" s="14" t="str">
        <f aca="false">IF(AND('Backlog phân công'!$G23&lt;=4,'Backlog phân công'!$H23&gt;=4),"■","")</f>
        <v>■</v>
      </c>
      <c r="J23" s="14" t="str">
        <f aca="false">IF(AND('Backlog phân công'!$G23&lt;=5,'Backlog phân công'!$H23&gt;=5),"■","")</f>
        <v/>
      </c>
      <c r="K23" s="14" t="str">
        <f aca="false">IF(AND('Backlog phân công'!$G23&lt;=6,'Backlog phân công'!$H23&gt;=6),"■","")</f>
        <v/>
      </c>
      <c r="L23" s="14" t="str">
        <f aca="false">IF(AND('Backlog phân công'!$G23&lt;=7,'Backlog phân công'!$H23&gt;=7),"■","")</f>
        <v/>
      </c>
      <c r="M23" s="14" t="str">
        <f aca="false">IF(AND('Backlog phân công'!$G23&lt;=8,'Backlog phân công'!$H23&gt;=8),"■","")</f>
        <v/>
      </c>
    </row>
    <row r="24" customFormat="false" ht="28.35" hidden="false" customHeight="false" outlineLevel="0" collapsed="false">
      <c r="A24" s="12" t="str">
        <f aca="false">'Backlog phân công'!A24</f>
        <v>N03</v>
      </c>
      <c r="B24" s="13" t="str">
        <f aca="false">'Backlog phân công'!D24</f>
        <v>Notes API: POST /notes (Idempotency-Key), thư mục + Inbox mặc định, validation, ownership</v>
      </c>
      <c r="C24" s="12" t="str">
        <f aca="false">'Backlog phân công'!E24</f>
        <v>Trịnh Mạnh Quang</v>
      </c>
      <c r="D24" s="12" t="str">
        <f aca="false">'Backlog phân công'!J24</f>
        <v>P0</v>
      </c>
      <c r="E24" s="12" t="n">
        <f aca="false">'Backlog phân công'!I24</f>
        <v>8</v>
      </c>
      <c r="F24" s="14" t="str">
        <f aca="false">IF(AND('Backlog phân công'!$G24&lt;=1,'Backlog phân công'!$H24&gt;=1),"■","")</f>
        <v/>
      </c>
      <c r="G24" s="14" t="str">
        <f aca="false">IF(AND('Backlog phân công'!$G24&lt;=2,'Backlog phân công'!$H24&gt;=2),"■","")</f>
        <v/>
      </c>
      <c r="H24" s="14" t="str">
        <f aca="false">IF(AND('Backlog phân công'!$G24&lt;=3,'Backlog phân công'!$H24&gt;=3),"■","")</f>
        <v>■</v>
      </c>
      <c r="I24" s="14" t="str">
        <f aca="false">IF(AND('Backlog phân công'!$G24&lt;=4,'Backlog phân công'!$H24&gt;=4),"■","")</f>
        <v>■</v>
      </c>
      <c r="J24" s="14" t="str">
        <f aca="false">IF(AND('Backlog phân công'!$G24&lt;=5,'Backlog phân công'!$H24&gt;=5),"■","")</f>
        <v/>
      </c>
      <c r="K24" s="14" t="str">
        <f aca="false">IF(AND('Backlog phân công'!$G24&lt;=6,'Backlog phân công'!$H24&gt;=6),"■","")</f>
        <v/>
      </c>
      <c r="L24" s="14" t="str">
        <f aca="false">IF(AND('Backlog phân công'!$G24&lt;=7,'Backlog phân công'!$H24&gt;=7),"■","")</f>
        <v/>
      </c>
      <c r="M24" s="14" t="str">
        <f aca="false">IF(AND('Backlog phân công'!$G24&lt;=8,'Backlog phân công'!$H24&gt;=8),"■","")</f>
        <v/>
      </c>
    </row>
    <row r="25" customFormat="false" ht="28.35" hidden="false" customHeight="false" outlineLevel="0" collapsed="false">
      <c r="A25" s="12" t="str">
        <f aca="false">'Backlog phân công'!A25</f>
        <v>N04</v>
      </c>
      <c r="B25" s="13" t="str">
        <f aca="false">'Backlog phân công'!D25</f>
        <v>Chunking v2 (theo ngữ nghĩa/câu tiếng Việt) giữ nguyên chữ ký hàm; đo ảnh hưởng tới chất lượng tìm kiếm</v>
      </c>
      <c r="C25" s="12" t="str">
        <f aca="false">'Backlog phân công'!E25</f>
        <v>Mai Đức Vinh</v>
      </c>
      <c r="D25" s="12" t="str">
        <f aca="false">'Backlog phân công'!J25</f>
        <v>P0</v>
      </c>
      <c r="E25" s="12" t="n">
        <f aca="false">'Backlog phân công'!I25</f>
        <v>8</v>
      </c>
      <c r="F25" s="14" t="str">
        <f aca="false">IF(AND('Backlog phân công'!$G25&lt;=1,'Backlog phân công'!$H25&gt;=1),"■","")</f>
        <v/>
      </c>
      <c r="G25" s="14" t="str">
        <f aca="false">IF(AND('Backlog phân công'!$G25&lt;=2,'Backlog phân công'!$H25&gt;=2),"■","")</f>
        <v/>
      </c>
      <c r="H25" s="14" t="str">
        <f aca="false">IF(AND('Backlog phân công'!$G25&lt;=3,'Backlog phân công'!$H25&gt;=3),"■","")</f>
        <v>■</v>
      </c>
      <c r="I25" s="14" t="str">
        <f aca="false">IF(AND('Backlog phân công'!$G25&lt;=4,'Backlog phân công'!$H25&gt;=4),"■","")</f>
        <v>■</v>
      </c>
      <c r="J25" s="14" t="str">
        <f aca="false">IF(AND('Backlog phân công'!$G25&lt;=5,'Backlog phân công'!$H25&gt;=5),"■","")</f>
        <v/>
      </c>
      <c r="K25" s="14" t="str">
        <f aca="false">IF(AND('Backlog phân công'!$G25&lt;=6,'Backlog phân công'!$H25&gt;=6),"■","")</f>
        <v/>
      </c>
      <c r="L25" s="14" t="str">
        <f aca="false">IF(AND('Backlog phân công'!$G25&lt;=7,'Backlog phân công'!$H25&gt;=7),"■","")</f>
        <v/>
      </c>
      <c r="M25" s="14" t="str">
        <f aca="false">IF(AND('Backlog phân công'!$G25&lt;=8,'Backlog phân công'!$H25&gt;=8),"■","")</f>
        <v/>
      </c>
    </row>
    <row r="26" customFormat="false" ht="28.35" hidden="false" customHeight="false" outlineLevel="0" collapsed="false">
      <c r="A26" s="12" t="str">
        <f aca="false">'Backlog phân công'!A26</f>
        <v>N05</v>
      </c>
      <c r="B26" s="13" t="str">
        <f aca="false">'Backlog phân công'!D26</f>
        <v>Job index: embed → pgvector → READY/SKIPPED/FAILED, trừ quota theo usage thật, retry có kiểm soát</v>
      </c>
      <c r="C26" s="12" t="str">
        <f aca="false">'Backlog phân công'!E26</f>
        <v>Mai Đức Vinh</v>
      </c>
      <c r="D26" s="12" t="str">
        <f aca="false">'Backlog phân công'!J26</f>
        <v>P0</v>
      </c>
      <c r="E26" s="12" t="n">
        <f aca="false">'Backlog phân công'!I26</f>
        <v>8</v>
      </c>
      <c r="F26" s="14" t="str">
        <f aca="false">IF(AND('Backlog phân công'!$G26&lt;=1,'Backlog phân công'!$H26&gt;=1),"■","")</f>
        <v/>
      </c>
      <c r="G26" s="14" t="str">
        <f aca="false">IF(AND('Backlog phân công'!$G26&lt;=2,'Backlog phân công'!$H26&gt;=2),"■","")</f>
        <v/>
      </c>
      <c r="H26" s="14" t="str">
        <f aca="false">IF(AND('Backlog phân công'!$G26&lt;=3,'Backlog phân công'!$H26&gt;=3),"■","")</f>
        <v/>
      </c>
      <c r="I26" s="14" t="str">
        <f aca="false">IF(AND('Backlog phân công'!$G26&lt;=4,'Backlog phân công'!$H26&gt;=4),"■","")</f>
        <v>■</v>
      </c>
      <c r="J26" s="14" t="str">
        <f aca="false">IF(AND('Backlog phân công'!$G26&lt;=5,'Backlog phân công'!$H26&gt;=5),"■","")</f>
        <v/>
      </c>
      <c r="K26" s="14" t="str">
        <f aca="false">IF(AND('Backlog phân công'!$G26&lt;=6,'Backlog phân công'!$H26&gt;=6),"■","")</f>
        <v/>
      </c>
      <c r="L26" s="14" t="str">
        <f aca="false">IF(AND('Backlog phân công'!$G26&lt;=7,'Backlog phân công'!$H26&gt;=7),"■","")</f>
        <v/>
      </c>
      <c r="M26" s="14" t="str">
        <f aca="false">IF(AND('Backlog phân công'!$G26&lt;=8,'Backlog phân công'!$H26&gt;=8),"■","")</f>
        <v/>
      </c>
    </row>
    <row r="27" customFormat="false" ht="28.35" hidden="false" customHeight="false" outlineLevel="0" collapsed="false">
      <c r="A27" s="12" t="str">
        <f aca="false">'Backlog phân công'!A27</f>
        <v>N06</v>
      </c>
      <c r="B27" s="13" t="str">
        <f aca="false">'Backlog phân công'!D27</f>
        <v>Outbox IndexedDB + retry alarm + hiển thị note gửi thất bại để gửi lại thủ công</v>
      </c>
      <c r="C27" s="12" t="str">
        <f aca="false">'Backlog phân công'!E27</f>
        <v>Lê Đăng Sơn</v>
      </c>
      <c r="D27" s="12" t="str">
        <f aca="false">'Backlog phân công'!J27</f>
        <v>P0</v>
      </c>
      <c r="E27" s="12" t="n">
        <f aca="false">'Backlog phân công'!I27</f>
        <v>8</v>
      </c>
      <c r="F27" s="14" t="str">
        <f aca="false">IF(AND('Backlog phân công'!$G27&lt;=1,'Backlog phân công'!$H27&gt;=1),"■","")</f>
        <v/>
      </c>
      <c r="G27" s="14" t="str">
        <f aca="false">IF(AND('Backlog phân công'!$G27&lt;=2,'Backlog phân công'!$H27&gt;=2),"■","")</f>
        <v/>
      </c>
      <c r="H27" s="14" t="str">
        <f aca="false">IF(AND('Backlog phân công'!$G27&lt;=3,'Backlog phân công'!$H27&gt;=3),"■","")</f>
        <v/>
      </c>
      <c r="I27" s="14" t="str">
        <f aca="false">IF(AND('Backlog phân công'!$G27&lt;=4,'Backlog phân công'!$H27&gt;=4),"■","")</f>
        <v>■</v>
      </c>
      <c r="J27" s="14" t="str">
        <f aca="false">IF(AND('Backlog phân công'!$G27&lt;=5,'Backlog phân công'!$H27&gt;=5),"■","")</f>
        <v/>
      </c>
      <c r="K27" s="14" t="str">
        <f aca="false">IF(AND('Backlog phân công'!$G27&lt;=6,'Backlog phân công'!$H27&gt;=6),"■","")</f>
        <v/>
      </c>
      <c r="L27" s="14" t="str">
        <f aca="false">IF(AND('Backlog phân công'!$G27&lt;=7,'Backlog phân công'!$H27&gt;=7),"■","")</f>
        <v/>
      </c>
      <c r="M27" s="14" t="str">
        <f aca="false">IF(AND('Backlog phân công'!$G27&lt;=8,'Backlog phân công'!$H27&gt;=8),"■","")</f>
        <v/>
      </c>
    </row>
    <row r="28" customFormat="false" ht="28.35" hidden="false" customHeight="false" outlineLevel="0" collapsed="false">
      <c r="A28" s="12" t="str">
        <f aca="false">'Backlog phân công'!A28</f>
        <v>N07</v>
      </c>
      <c r="B28" s="13" t="str">
        <f aca="false">'Backlog phân công'!D28</f>
        <v>E2E ghi chú nhanh: hoàn tác, mất mạng, hết quota, trang đặc biệt</v>
      </c>
      <c r="C28" s="12" t="str">
        <f aca="false">'Backlog phân công'!E28</f>
        <v>Trần Thùy Dương</v>
      </c>
      <c r="D28" s="12" t="str">
        <f aca="false">'Backlog phân công'!J28</f>
        <v>P0</v>
      </c>
      <c r="E28" s="12" t="n">
        <f aca="false">'Backlog phân công'!I28</f>
        <v>6</v>
      </c>
      <c r="F28" s="14" t="str">
        <f aca="false">IF(AND('Backlog phân công'!$G28&lt;=1,'Backlog phân công'!$H28&gt;=1),"■","")</f>
        <v/>
      </c>
      <c r="G28" s="14" t="str">
        <f aca="false">IF(AND('Backlog phân công'!$G28&lt;=2,'Backlog phân công'!$H28&gt;=2),"■","")</f>
        <v/>
      </c>
      <c r="H28" s="14" t="str">
        <f aca="false">IF(AND('Backlog phân công'!$G28&lt;=3,'Backlog phân công'!$H28&gt;=3),"■","")</f>
        <v/>
      </c>
      <c r="I28" s="14" t="str">
        <f aca="false">IF(AND('Backlog phân công'!$G28&lt;=4,'Backlog phân công'!$H28&gt;=4),"■","")</f>
        <v>■</v>
      </c>
      <c r="J28" s="14" t="str">
        <f aca="false">IF(AND('Backlog phân công'!$G28&lt;=5,'Backlog phân công'!$H28&gt;=5),"■","")</f>
        <v/>
      </c>
      <c r="K28" s="14" t="str">
        <f aca="false">IF(AND('Backlog phân công'!$G28&lt;=6,'Backlog phân công'!$H28&gt;=6),"■","")</f>
        <v/>
      </c>
      <c r="L28" s="14" t="str">
        <f aca="false">IF(AND('Backlog phân công'!$G28&lt;=7,'Backlog phân công'!$H28&gt;=7),"■","")</f>
        <v/>
      </c>
      <c r="M28" s="14" t="str">
        <f aca="false">IF(AND('Backlog phân công'!$G28&lt;=8,'Backlog phân công'!$H28&gt;=8),"■","")</f>
        <v/>
      </c>
    </row>
    <row r="29" customFormat="false" ht="28.35" hidden="false" customHeight="false" outlineLevel="0" collapsed="false">
      <c r="A29" s="12" t="str">
        <f aca="false">'Backlog phân công'!A29</f>
        <v>C01</v>
      </c>
      <c r="B29" s="13" t="str">
        <f aca="false">'Backlog phân công'!D29</f>
        <v>Hoàn thiện CRUD: PATCH có version (409), bulk-delete, phân trang cursor, đổi tên/xoá thư mục</v>
      </c>
      <c r="C29" s="12" t="str">
        <f aca="false">'Backlog phân công'!E29</f>
        <v>Trịnh Mạnh Quang</v>
      </c>
      <c r="D29" s="12" t="str">
        <f aca="false">'Backlog phân công'!J29</f>
        <v>P0</v>
      </c>
      <c r="E29" s="12" t="n">
        <f aca="false">'Backlog phân công'!I29</f>
        <v>8</v>
      </c>
      <c r="F29" s="14" t="str">
        <f aca="false">IF(AND('Backlog phân công'!$G29&lt;=1,'Backlog phân công'!$H29&gt;=1),"■","")</f>
        <v/>
      </c>
      <c r="G29" s="14" t="str">
        <f aca="false">IF(AND('Backlog phân công'!$G29&lt;=2,'Backlog phân công'!$H29&gt;=2),"■","")</f>
        <v/>
      </c>
      <c r="H29" s="14" t="str">
        <f aca="false">IF(AND('Backlog phân công'!$G29&lt;=3,'Backlog phân công'!$H29&gt;=3),"■","")</f>
        <v/>
      </c>
      <c r="I29" s="14" t="str">
        <f aca="false">IF(AND('Backlog phân công'!$G29&lt;=4,'Backlog phân công'!$H29&gt;=4),"■","")</f>
        <v>■</v>
      </c>
      <c r="J29" s="14" t="str">
        <f aca="false">IF(AND('Backlog phân công'!$G29&lt;=5,'Backlog phân công'!$H29&gt;=5),"■","")</f>
        <v>■</v>
      </c>
      <c r="K29" s="14" t="str">
        <f aca="false">IF(AND('Backlog phân công'!$G29&lt;=6,'Backlog phân công'!$H29&gt;=6),"■","")</f>
        <v/>
      </c>
      <c r="L29" s="14" t="str">
        <f aca="false">IF(AND('Backlog phân công'!$G29&lt;=7,'Backlog phân công'!$H29&gt;=7),"■","")</f>
        <v/>
      </c>
      <c r="M29" s="14" t="str">
        <f aca="false">IF(AND('Backlog phân công'!$G29&lt;=8,'Backlog phân công'!$H29&gt;=8),"■","")</f>
        <v/>
      </c>
    </row>
    <row r="30" customFormat="false" ht="28.35" hidden="false" customHeight="false" outlineLevel="0" collapsed="false">
      <c r="A30" s="12" t="str">
        <f aca="false">'Backlog phân công'!A30</f>
        <v>C02</v>
      </c>
      <c r="B30" s="13" t="str">
        <f aca="false">'Backlog phân công'!D30</f>
        <v>Cache-first IndexedDB + sync tăng dần (updated_since, tombstone)</v>
      </c>
      <c r="C30" s="12" t="str">
        <f aca="false">'Backlog phân công'!E30</f>
        <v>Lê Đăng Sơn</v>
      </c>
      <c r="D30" s="12" t="str">
        <f aca="false">'Backlog phân công'!J30</f>
        <v>P0</v>
      </c>
      <c r="E30" s="12" t="n">
        <f aca="false">'Backlog phân công'!I30</f>
        <v>8</v>
      </c>
      <c r="F30" s="14" t="str">
        <f aca="false">IF(AND('Backlog phân công'!$G30&lt;=1,'Backlog phân công'!$H30&gt;=1),"■","")</f>
        <v/>
      </c>
      <c r="G30" s="14" t="str">
        <f aca="false">IF(AND('Backlog phân công'!$G30&lt;=2,'Backlog phân công'!$H30&gt;=2),"■","")</f>
        <v/>
      </c>
      <c r="H30" s="14" t="str">
        <f aca="false">IF(AND('Backlog phân công'!$G30&lt;=3,'Backlog phân công'!$H30&gt;=3),"■","")</f>
        <v/>
      </c>
      <c r="I30" s="14" t="str">
        <f aca="false">IF(AND('Backlog phân công'!$G30&lt;=4,'Backlog phân công'!$H30&gt;=4),"■","")</f>
        <v>■</v>
      </c>
      <c r="J30" s="14" t="str">
        <f aca="false">IF(AND('Backlog phân công'!$G30&lt;=5,'Backlog phân công'!$H30&gt;=5),"■","")</f>
        <v>■</v>
      </c>
      <c r="K30" s="14" t="str">
        <f aca="false">IF(AND('Backlog phân công'!$G30&lt;=6,'Backlog phân công'!$H30&gt;=6),"■","")</f>
        <v/>
      </c>
      <c r="L30" s="14" t="str">
        <f aca="false">IF(AND('Backlog phân công'!$G30&lt;=7,'Backlog phân công'!$H30&gt;=7),"■","")</f>
        <v/>
      </c>
      <c r="M30" s="14" t="str">
        <f aca="false">IF(AND('Backlog phân công'!$G30&lt;=8,'Backlog phân công'!$H30&gt;=8),"■","")</f>
        <v/>
      </c>
    </row>
    <row r="31" customFormat="false" ht="28.35" hidden="false" customHeight="false" outlineLevel="0" collapsed="false">
      <c r="A31" s="12" t="str">
        <f aca="false">'Backlog phân công'!A31</f>
        <v>C03</v>
      </c>
      <c r="B31" s="13" t="str">
        <f aca="false">'Backlog phân công'!D31</f>
        <v>Màn thư viện: danh sách/chi tiết/sửa (xử lý 409)/xoá nhiều/quản lý thư mục</v>
      </c>
      <c r="C31" s="12" t="str">
        <f aca="false">'Backlog phân công'!E31</f>
        <v>Trần Thùy Dương</v>
      </c>
      <c r="D31" s="12" t="str">
        <f aca="false">'Backlog phân công'!J31</f>
        <v>P0</v>
      </c>
      <c r="E31" s="12" t="n">
        <f aca="false">'Backlog phân công'!I31</f>
        <v>12</v>
      </c>
      <c r="F31" s="14" t="str">
        <f aca="false">IF(AND('Backlog phân công'!$G31&lt;=1,'Backlog phân công'!$H31&gt;=1),"■","")</f>
        <v/>
      </c>
      <c r="G31" s="14" t="str">
        <f aca="false">IF(AND('Backlog phân công'!$G31&lt;=2,'Backlog phân công'!$H31&gt;=2),"■","")</f>
        <v/>
      </c>
      <c r="H31" s="14" t="str">
        <f aca="false">IF(AND('Backlog phân công'!$G31&lt;=3,'Backlog phân công'!$H31&gt;=3),"■","")</f>
        <v/>
      </c>
      <c r="I31" s="14" t="str">
        <f aca="false">IF(AND('Backlog phân công'!$G31&lt;=4,'Backlog phân công'!$H31&gt;=4),"■","")</f>
        <v>■</v>
      </c>
      <c r="J31" s="14" t="str">
        <f aca="false">IF(AND('Backlog phân công'!$G31&lt;=5,'Backlog phân công'!$H31&gt;=5),"■","")</f>
        <v>■</v>
      </c>
      <c r="K31" s="14" t="str">
        <f aca="false">IF(AND('Backlog phân công'!$G31&lt;=6,'Backlog phân công'!$H31&gt;=6),"■","")</f>
        <v/>
      </c>
      <c r="L31" s="14" t="str">
        <f aca="false">IF(AND('Backlog phân công'!$G31&lt;=7,'Backlog phân công'!$H31&gt;=7),"■","")</f>
        <v/>
      </c>
      <c r="M31" s="14" t="str">
        <f aca="false">IF(AND('Backlog phân công'!$G31&lt;=8,'Backlog phân công'!$H31&gt;=8),"■","")</f>
        <v/>
      </c>
    </row>
    <row r="32" customFormat="false" ht="28.35" hidden="false" customHeight="false" outlineLevel="0" collapsed="false">
      <c r="A32" s="12" t="str">
        <f aca="false">'Backlog phân công'!A32</f>
        <v>C04</v>
      </c>
      <c r="B32" s="13" t="str">
        <f aca="false">'Backlog phân công'!D32</f>
        <v>Chọn thư mục khi lưu nhanh (menu con/phím tắt mở hộp chọn) + RPC folders</v>
      </c>
      <c r="C32" s="12" t="str">
        <f aca="false">'Backlog phân công'!E32</f>
        <v>Lê Đăng Sơn</v>
      </c>
      <c r="D32" s="12" t="str">
        <f aca="false">'Backlog phân công'!J32</f>
        <v>P0</v>
      </c>
      <c r="E32" s="12" t="n">
        <f aca="false">'Backlog phân công'!I32</f>
        <v>6</v>
      </c>
      <c r="F32" s="14" t="str">
        <f aca="false">IF(AND('Backlog phân công'!$G32&lt;=1,'Backlog phân công'!$H32&gt;=1),"■","")</f>
        <v/>
      </c>
      <c r="G32" s="14" t="str">
        <f aca="false">IF(AND('Backlog phân công'!$G32&lt;=2,'Backlog phân công'!$H32&gt;=2),"■","")</f>
        <v/>
      </c>
      <c r="H32" s="14" t="str">
        <f aca="false">IF(AND('Backlog phân công'!$G32&lt;=3,'Backlog phân công'!$H32&gt;=3),"■","")</f>
        <v/>
      </c>
      <c r="I32" s="14" t="str">
        <f aca="false">IF(AND('Backlog phân công'!$G32&lt;=4,'Backlog phân công'!$H32&gt;=4),"■","")</f>
        <v/>
      </c>
      <c r="J32" s="14" t="str">
        <f aca="false">IF(AND('Backlog phân công'!$G32&lt;=5,'Backlog phân công'!$H32&gt;=5),"■","")</f>
        <v>■</v>
      </c>
      <c r="K32" s="14" t="str">
        <f aca="false">IF(AND('Backlog phân công'!$G32&lt;=6,'Backlog phân công'!$H32&gt;=6),"■","")</f>
        <v>■</v>
      </c>
      <c r="L32" s="14" t="str">
        <f aca="false">IF(AND('Backlog phân công'!$G32&lt;=7,'Backlog phân công'!$H32&gt;=7),"■","")</f>
        <v/>
      </c>
      <c r="M32" s="14" t="str">
        <f aca="false">IF(AND('Backlog phân công'!$G32&lt;=8,'Backlog phân công'!$H32&gt;=8),"■","")</f>
        <v/>
      </c>
    </row>
    <row r="33" customFormat="false" ht="28.35" hidden="false" customHeight="false" outlineLevel="0" collapsed="false">
      <c r="A33" s="12" t="str">
        <f aca="false">'Backlog phân công'!A33</f>
        <v>C05</v>
      </c>
      <c r="B33" s="13" t="str">
        <f aca="false">'Backlog phân công'!D33</f>
        <v>Test CRUD, cache, offline, xung đột version, xoá hàng loạt, IDOR</v>
      </c>
      <c r="C33" s="12" t="str">
        <f aca="false">'Backlog phân công'!E33</f>
        <v>Trần Thùy Dương</v>
      </c>
      <c r="D33" s="12" t="str">
        <f aca="false">'Backlog phân công'!J33</f>
        <v>P0</v>
      </c>
      <c r="E33" s="12" t="n">
        <f aca="false">'Backlog phân công'!I33</f>
        <v>6</v>
      </c>
      <c r="F33" s="14" t="str">
        <f aca="false">IF(AND('Backlog phân công'!$G33&lt;=1,'Backlog phân công'!$H33&gt;=1),"■","")</f>
        <v/>
      </c>
      <c r="G33" s="14" t="str">
        <f aca="false">IF(AND('Backlog phân công'!$G33&lt;=2,'Backlog phân công'!$H33&gt;=2),"■","")</f>
        <v/>
      </c>
      <c r="H33" s="14" t="str">
        <f aca="false">IF(AND('Backlog phân công'!$G33&lt;=3,'Backlog phân công'!$H33&gt;=3),"■","")</f>
        <v/>
      </c>
      <c r="I33" s="14" t="str">
        <f aca="false">IF(AND('Backlog phân công'!$G33&lt;=4,'Backlog phân công'!$H33&gt;=4),"■","")</f>
        <v/>
      </c>
      <c r="J33" s="14" t="str">
        <f aca="false">IF(AND('Backlog phân công'!$G33&lt;=5,'Backlog phân công'!$H33&gt;=5),"■","")</f>
        <v>■</v>
      </c>
      <c r="K33" s="14" t="str">
        <f aca="false">IF(AND('Backlog phân công'!$G33&lt;=6,'Backlog phân công'!$H33&gt;=6),"■","")</f>
        <v/>
      </c>
      <c r="L33" s="14" t="str">
        <f aca="false">IF(AND('Backlog phân công'!$G33&lt;=7,'Backlog phân công'!$H33&gt;=7),"■","")</f>
        <v/>
      </c>
      <c r="M33" s="14" t="str">
        <f aca="false">IF(AND('Backlog phân công'!$G33&lt;=8,'Backlog phân công'!$H33&gt;=8),"■","")</f>
        <v/>
      </c>
    </row>
    <row r="34" customFormat="false" ht="28.35" hidden="false" customHeight="false" outlineLevel="0" collapsed="false">
      <c r="A34" s="12" t="str">
        <f aca="false">'Backlog phân công'!A34</f>
        <v>R01</v>
      </c>
      <c r="B34" s="13" t="str">
        <f aca="false">'Backlog phân công'!D34</f>
        <v>Tinh chỉnh hybrid retrieval (RRF, candidate_k, unaccent tiếng Việt), test cô lập dữ liệu user</v>
      </c>
      <c r="C34" s="12" t="str">
        <f aca="false">'Backlog phân công'!E34</f>
        <v>Mai Đức Vinh</v>
      </c>
      <c r="D34" s="12" t="str">
        <f aca="false">'Backlog phân công'!J34</f>
        <v>P0</v>
      </c>
      <c r="E34" s="12" t="n">
        <f aca="false">'Backlog phân công'!I34</f>
        <v>8</v>
      </c>
      <c r="F34" s="14" t="str">
        <f aca="false">IF(AND('Backlog phân công'!$G34&lt;=1,'Backlog phân công'!$H34&gt;=1),"■","")</f>
        <v/>
      </c>
      <c r="G34" s="14" t="str">
        <f aca="false">IF(AND('Backlog phân công'!$G34&lt;=2,'Backlog phân công'!$H34&gt;=2),"■","")</f>
        <v/>
      </c>
      <c r="H34" s="14" t="str">
        <f aca="false">IF(AND('Backlog phân công'!$G34&lt;=3,'Backlog phân công'!$H34&gt;=3),"■","")</f>
        <v/>
      </c>
      <c r="I34" s="14" t="str">
        <f aca="false">IF(AND('Backlog phân công'!$G34&lt;=4,'Backlog phân công'!$H34&gt;=4),"■","")</f>
        <v/>
      </c>
      <c r="J34" s="14" t="str">
        <f aca="false">IF(AND('Backlog phân công'!$G34&lt;=5,'Backlog phân công'!$H34&gt;=5),"■","")</f>
        <v>■</v>
      </c>
      <c r="K34" s="14" t="str">
        <f aca="false">IF(AND('Backlog phân công'!$G34&lt;=6,'Backlog phân công'!$H34&gt;=6),"■","")</f>
        <v/>
      </c>
      <c r="L34" s="14" t="str">
        <f aca="false">IF(AND('Backlog phân công'!$G34&lt;=7,'Backlog phân công'!$H34&gt;=7),"■","")</f>
        <v/>
      </c>
      <c r="M34" s="14" t="str">
        <f aca="false">IF(AND('Backlog phân công'!$G34&lt;=8,'Backlog phân công'!$H34&gt;=8),"■","")</f>
        <v/>
      </c>
    </row>
    <row r="35" customFormat="false" ht="28.35" hidden="false" customHeight="false" outlineLevel="0" collapsed="false">
      <c r="A35" s="12" t="str">
        <f aca="false">'Backlog phân công'!A35</f>
        <v>R03</v>
      </c>
      <c r="B35" s="13" t="str">
        <f aca="false">'Backlog phân công'!D35</f>
        <v>POST /search: lọc thư mục, giới hạn tần suất/user, response kèm tiêu đề/URL nguồn</v>
      </c>
      <c r="C35" s="12" t="str">
        <f aca="false">'Backlog phân công'!E35</f>
        <v>Mai Đức Vinh</v>
      </c>
      <c r="D35" s="12" t="str">
        <f aca="false">'Backlog phân công'!J35</f>
        <v>P0</v>
      </c>
      <c r="E35" s="12" t="n">
        <f aca="false">'Backlog phân công'!I35</f>
        <v>5</v>
      </c>
      <c r="F35" s="14" t="str">
        <f aca="false">IF(AND('Backlog phân công'!$G35&lt;=1,'Backlog phân công'!$H35&gt;=1),"■","")</f>
        <v/>
      </c>
      <c r="G35" s="14" t="str">
        <f aca="false">IF(AND('Backlog phân công'!$G35&lt;=2,'Backlog phân công'!$H35&gt;=2),"■","")</f>
        <v/>
      </c>
      <c r="H35" s="14" t="str">
        <f aca="false">IF(AND('Backlog phân công'!$G35&lt;=3,'Backlog phân công'!$H35&gt;=3),"■","")</f>
        <v/>
      </c>
      <c r="I35" s="14" t="str">
        <f aca="false">IF(AND('Backlog phân công'!$G35&lt;=4,'Backlog phân công'!$H35&gt;=4),"■","")</f>
        <v/>
      </c>
      <c r="J35" s="14" t="str">
        <f aca="false">IF(AND('Backlog phân công'!$G35&lt;=5,'Backlog phân công'!$H35&gt;=5),"■","")</f>
        <v>■</v>
      </c>
      <c r="K35" s="14" t="str">
        <f aca="false">IF(AND('Backlog phân công'!$G35&lt;=6,'Backlog phân công'!$H35&gt;=6),"■","")</f>
        <v/>
      </c>
      <c r="L35" s="14" t="str">
        <f aca="false">IF(AND('Backlog phân công'!$G35&lt;=7,'Backlog phân công'!$H35&gt;=7),"■","")</f>
        <v/>
      </c>
      <c r="M35" s="14" t="str">
        <f aca="false">IF(AND('Backlog phân công'!$G35&lt;=8,'Backlog phân công'!$H35&gt;=8),"■","")</f>
        <v/>
      </c>
    </row>
    <row r="36" customFormat="false" ht="28.35" hidden="false" customHeight="false" outlineLevel="0" collapsed="false">
      <c r="A36" s="12" t="str">
        <f aca="false">'Backlog phân công'!A36</f>
        <v>R04</v>
      </c>
      <c r="B36" s="13" t="str">
        <f aca="false">'Backlog phân công'!D36</f>
        <v>Màn tìm kiếm: nhập câu hỏi, kết quả kèm nguồn, mở trang/ghi chú gốc</v>
      </c>
      <c r="C36" s="12" t="str">
        <f aca="false">'Backlog phân công'!E36</f>
        <v>Lê Đăng Sơn</v>
      </c>
      <c r="D36" s="12" t="str">
        <f aca="false">'Backlog phân công'!J36</f>
        <v>P0</v>
      </c>
      <c r="E36" s="12" t="n">
        <f aca="false">'Backlog phân công'!I36</f>
        <v>6</v>
      </c>
      <c r="F36" s="14" t="str">
        <f aca="false">IF(AND('Backlog phân công'!$G36&lt;=1,'Backlog phân công'!$H36&gt;=1),"■","")</f>
        <v/>
      </c>
      <c r="G36" s="14" t="str">
        <f aca="false">IF(AND('Backlog phân công'!$G36&lt;=2,'Backlog phân công'!$H36&gt;=2),"■","")</f>
        <v/>
      </c>
      <c r="H36" s="14" t="str">
        <f aca="false">IF(AND('Backlog phân công'!$G36&lt;=3,'Backlog phân công'!$H36&gt;=3),"■","")</f>
        <v/>
      </c>
      <c r="I36" s="14" t="str">
        <f aca="false">IF(AND('Backlog phân công'!$G36&lt;=4,'Backlog phân công'!$H36&gt;=4),"■","")</f>
        <v/>
      </c>
      <c r="J36" s="14" t="str">
        <f aca="false">IF(AND('Backlog phân công'!$G36&lt;=5,'Backlog phân công'!$H36&gt;=5),"■","")</f>
        <v>■</v>
      </c>
      <c r="K36" s="14" t="str">
        <f aca="false">IF(AND('Backlog phân công'!$G36&lt;=6,'Backlog phân công'!$H36&gt;=6),"■","")</f>
        <v>■</v>
      </c>
      <c r="L36" s="14" t="str">
        <f aca="false">IF(AND('Backlog phân công'!$G36&lt;=7,'Backlog phân công'!$H36&gt;=7),"■","")</f>
        <v/>
      </c>
      <c r="M36" s="14" t="str">
        <f aca="false">IF(AND('Backlog phân công'!$G36&lt;=8,'Backlog phân công'!$H36&gt;=8),"■","")</f>
        <v/>
      </c>
    </row>
    <row r="37" customFormat="false" ht="28.35" hidden="false" customHeight="false" outlineLevel="0" collapsed="false">
      <c r="A37" s="12" t="str">
        <f aca="false">'Backlog phân công'!A37</f>
        <v>R05</v>
      </c>
      <c r="B37" s="13" t="str">
        <f aca="false">'Backlog phân công'!D37</f>
        <v>Nghiệm thu tìm kiếm: bộ câu hỏi mẫu, phân quyền, hết quota</v>
      </c>
      <c r="C37" s="12" t="str">
        <f aca="false">'Backlog phân công'!E37</f>
        <v>Trần Thùy Dương</v>
      </c>
      <c r="D37" s="12" t="str">
        <f aca="false">'Backlog phân công'!J37</f>
        <v>P0</v>
      </c>
      <c r="E37" s="12" t="n">
        <f aca="false">'Backlog phân công'!I37</f>
        <v>5</v>
      </c>
      <c r="F37" s="14" t="str">
        <f aca="false">IF(AND('Backlog phân công'!$G37&lt;=1,'Backlog phân công'!$H37&gt;=1),"■","")</f>
        <v/>
      </c>
      <c r="G37" s="14" t="str">
        <f aca="false">IF(AND('Backlog phân công'!$G37&lt;=2,'Backlog phân công'!$H37&gt;=2),"■","")</f>
        <v/>
      </c>
      <c r="H37" s="14" t="str">
        <f aca="false">IF(AND('Backlog phân công'!$G37&lt;=3,'Backlog phân công'!$H37&gt;=3),"■","")</f>
        <v/>
      </c>
      <c r="I37" s="14" t="str">
        <f aca="false">IF(AND('Backlog phân công'!$G37&lt;=4,'Backlog phân công'!$H37&gt;=4),"■","")</f>
        <v/>
      </c>
      <c r="J37" s="14" t="str">
        <f aca="false">IF(AND('Backlog phân công'!$G37&lt;=5,'Backlog phân công'!$H37&gt;=5),"■","")</f>
        <v/>
      </c>
      <c r="K37" s="14" t="str">
        <f aca="false">IF(AND('Backlog phân công'!$G37&lt;=6,'Backlog phân công'!$H37&gt;=6),"■","")</f>
        <v>■</v>
      </c>
      <c r="L37" s="14" t="str">
        <f aca="false">IF(AND('Backlog phân công'!$G37&lt;=7,'Backlog phân công'!$H37&gt;=7),"■","")</f>
        <v>■</v>
      </c>
      <c r="M37" s="14" t="str">
        <f aca="false">IF(AND('Backlog phân công'!$G37&lt;=8,'Backlog phân công'!$H37&gt;=8),"■","")</f>
        <v/>
      </c>
    </row>
    <row r="38" customFormat="false" ht="28.35" hidden="false" customHeight="false" outlineLevel="0" collapsed="false">
      <c r="A38" s="12" t="str">
        <f aca="false">'Backlog phân công'!A38</f>
        <v>SUM-02</v>
      </c>
      <c r="B38" s="13" t="str">
        <f aca="false">'Backlog phân công'!D38</f>
        <v>Backend tóm tắt: POST /ai/summaries (preview), PUT /notes/{id}/summary, giới hạn đầu vào, quota</v>
      </c>
      <c r="C38" s="12" t="str">
        <f aca="false">'Backlog phân công'!E38</f>
        <v>Mai Đức Vinh</v>
      </c>
      <c r="D38" s="12" t="str">
        <f aca="false">'Backlog phân công'!J38</f>
        <v>P0</v>
      </c>
      <c r="E38" s="12" t="n">
        <f aca="false">'Backlog phân công'!I38</f>
        <v>6</v>
      </c>
      <c r="F38" s="14" t="str">
        <f aca="false">IF(AND('Backlog phân công'!$G38&lt;=1,'Backlog phân công'!$H38&gt;=1),"■","")</f>
        <v/>
      </c>
      <c r="G38" s="14" t="str">
        <f aca="false">IF(AND('Backlog phân công'!$G38&lt;=2,'Backlog phân công'!$H38&gt;=2),"■","")</f>
        <v/>
      </c>
      <c r="H38" s="14" t="str">
        <f aca="false">IF(AND('Backlog phân công'!$G38&lt;=3,'Backlog phân công'!$H38&gt;=3),"■","")</f>
        <v/>
      </c>
      <c r="I38" s="14" t="str">
        <f aca="false">IF(AND('Backlog phân công'!$G38&lt;=4,'Backlog phân công'!$H38&gt;=4),"■","")</f>
        <v/>
      </c>
      <c r="J38" s="14" t="str">
        <f aca="false">IF(AND('Backlog phân công'!$G38&lt;=5,'Backlog phân công'!$H38&gt;=5),"■","")</f>
        <v>■</v>
      </c>
      <c r="K38" s="14" t="str">
        <f aca="false">IF(AND('Backlog phân công'!$G38&lt;=6,'Backlog phân công'!$H38&gt;=6),"■","")</f>
        <v>■</v>
      </c>
      <c r="L38" s="14" t="str">
        <f aca="false">IF(AND('Backlog phân công'!$G38&lt;=7,'Backlog phân công'!$H38&gt;=7),"■","")</f>
        <v/>
      </c>
      <c r="M38" s="14" t="str">
        <f aca="false">IF(AND('Backlog phân công'!$G38&lt;=8,'Backlog phân công'!$H38&gt;=8),"■","")</f>
        <v/>
      </c>
    </row>
    <row r="39" customFormat="false" ht="28.35" hidden="false" customHeight="false" outlineLevel="0" collapsed="false">
      <c r="A39" s="12" t="str">
        <f aca="false">'Backlog phân công'!A39</f>
        <v>SUM-03</v>
      </c>
      <c r="B39" s="13" t="str">
        <f aca="false">'Backlog phân công'!D39</f>
        <v>UI tóm tắt: nút trên thẻ note + tóm tắt vùng chọn, xem trước → Lưu/Huỷ</v>
      </c>
      <c r="C39" s="12" t="str">
        <f aca="false">'Backlog phân công'!E39</f>
        <v>Trần Thùy Dương</v>
      </c>
      <c r="D39" s="12" t="str">
        <f aca="false">'Backlog phân công'!J39</f>
        <v>P0</v>
      </c>
      <c r="E39" s="12" t="n">
        <f aca="false">'Backlog phân công'!I39</f>
        <v>6</v>
      </c>
      <c r="F39" s="14" t="str">
        <f aca="false">IF(AND('Backlog phân công'!$G39&lt;=1,'Backlog phân công'!$H39&gt;=1),"■","")</f>
        <v/>
      </c>
      <c r="G39" s="14" t="str">
        <f aca="false">IF(AND('Backlog phân công'!$G39&lt;=2,'Backlog phân công'!$H39&gt;=2),"■","")</f>
        <v/>
      </c>
      <c r="H39" s="14" t="str">
        <f aca="false">IF(AND('Backlog phân công'!$G39&lt;=3,'Backlog phân công'!$H39&gt;=3),"■","")</f>
        <v/>
      </c>
      <c r="I39" s="14" t="str">
        <f aca="false">IF(AND('Backlog phân công'!$G39&lt;=4,'Backlog phân công'!$H39&gt;=4),"■","")</f>
        <v/>
      </c>
      <c r="J39" s="14" t="str">
        <f aca="false">IF(AND('Backlog phân công'!$G39&lt;=5,'Backlog phân công'!$H39&gt;=5),"■","")</f>
        <v/>
      </c>
      <c r="K39" s="14" t="str">
        <f aca="false">IF(AND('Backlog phân công'!$G39&lt;=6,'Backlog phân công'!$H39&gt;=6),"■","")</f>
        <v>■</v>
      </c>
      <c r="L39" s="14" t="str">
        <f aca="false">IF(AND('Backlog phân công'!$G39&lt;=7,'Backlog phân công'!$H39&gt;=7),"■","")</f>
        <v/>
      </c>
      <c r="M39" s="14" t="str">
        <f aca="false">IF(AND('Backlog phân công'!$G39&lt;=8,'Backlog phân công'!$H39&gt;=8),"■","")</f>
        <v/>
      </c>
    </row>
    <row r="40" customFormat="false" ht="28.35" hidden="false" customHeight="false" outlineLevel="0" collapsed="false">
      <c r="A40" s="12" t="str">
        <f aca="false">'Backlog phân công'!A40</f>
        <v>SUM-04</v>
      </c>
      <c r="B40" s="13" t="str">
        <f aca="false">'Backlog phân công'!D40</f>
        <v>Test tóm tắt: trang dài, trang chứa prompt injection, hết quota, lỗi AI</v>
      </c>
      <c r="C40" s="12" t="str">
        <f aca="false">'Backlog phân công'!E40</f>
        <v>Trần Thùy Dương</v>
      </c>
      <c r="D40" s="12" t="str">
        <f aca="false">'Backlog phân công'!J40</f>
        <v>P0</v>
      </c>
      <c r="E40" s="12" t="n">
        <f aca="false">'Backlog phân công'!I40</f>
        <v>4</v>
      </c>
      <c r="F40" s="14" t="str">
        <f aca="false">IF(AND('Backlog phân công'!$G40&lt;=1,'Backlog phân công'!$H40&gt;=1),"■","")</f>
        <v/>
      </c>
      <c r="G40" s="14" t="str">
        <f aca="false">IF(AND('Backlog phân công'!$G40&lt;=2,'Backlog phân công'!$H40&gt;=2),"■","")</f>
        <v/>
      </c>
      <c r="H40" s="14" t="str">
        <f aca="false">IF(AND('Backlog phân công'!$G40&lt;=3,'Backlog phân công'!$H40&gt;=3),"■","")</f>
        <v/>
      </c>
      <c r="I40" s="14" t="str">
        <f aca="false">IF(AND('Backlog phân công'!$G40&lt;=4,'Backlog phân công'!$H40&gt;=4),"■","")</f>
        <v/>
      </c>
      <c r="J40" s="14" t="str">
        <f aca="false">IF(AND('Backlog phân công'!$G40&lt;=5,'Backlog phân công'!$H40&gt;=5),"■","")</f>
        <v/>
      </c>
      <c r="K40" s="14" t="str">
        <f aca="false">IF(AND('Backlog phân công'!$G40&lt;=6,'Backlog phân công'!$H40&gt;=6),"■","")</f>
        <v/>
      </c>
      <c r="L40" s="14" t="str">
        <f aca="false">IF(AND('Backlog phân công'!$G40&lt;=7,'Backlog phân công'!$H40&gt;=7),"■","")</f>
        <v>■</v>
      </c>
      <c r="M40" s="14" t="str">
        <f aca="false">IF(AND('Backlog phân công'!$G40&lt;=8,'Backlog phân công'!$H40&gt;=8),"■","")</f>
        <v/>
      </c>
    </row>
    <row r="41" customFormat="false" ht="28.35" hidden="false" customHeight="false" outlineLevel="0" collapsed="false">
      <c r="A41" s="12" t="str">
        <f aca="false">'Backlog phân công'!A41</f>
        <v>A08</v>
      </c>
      <c r="B41" s="13" t="str">
        <f aca="false">'Backlog phân công'!D41</f>
        <v>Màn Cài đặt: thông tin tài khoản, quota còn lại, đăng xuất, xoá tài khoản (xác nhận 2 bước)</v>
      </c>
      <c r="C41" s="12" t="str">
        <f aca="false">'Backlog phân công'!E41</f>
        <v>Trần Thùy Dương</v>
      </c>
      <c r="D41" s="12" t="str">
        <f aca="false">'Backlog phân công'!J41</f>
        <v>P0</v>
      </c>
      <c r="E41" s="12" t="n">
        <f aca="false">'Backlog phân công'!I41</f>
        <v>4</v>
      </c>
      <c r="F41" s="14" t="str">
        <f aca="false">IF(AND('Backlog phân công'!$G41&lt;=1,'Backlog phân công'!$H41&gt;=1),"■","")</f>
        <v/>
      </c>
      <c r="G41" s="14" t="str">
        <f aca="false">IF(AND('Backlog phân công'!$G41&lt;=2,'Backlog phân công'!$H41&gt;=2),"■","")</f>
        <v/>
      </c>
      <c r="H41" s="14" t="str">
        <f aca="false">IF(AND('Backlog phân công'!$G41&lt;=3,'Backlog phân công'!$H41&gt;=3),"■","")</f>
        <v/>
      </c>
      <c r="I41" s="14" t="str">
        <f aca="false">IF(AND('Backlog phân công'!$G41&lt;=4,'Backlog phân công'!$H41&gt;=4),"■","")</f>
        <v/>
      </c>
      <c r="J41" s="14" t="str">
        <f aca="false">IF(AND('Backlog phân công'!$G41&lt;=5,'Backlog phân công'!$H41&gt;=5),"■","")</f>
        <v/>
      </c>
      <c r="K41" s="14" t="str">
        <f aca="false">IF(AND('Backlog phân công'!$G41&lt;=6,'Backlog phân công'!$H41&gt;=6),"■","")</f>
        <v>■</v>
      </c>
      <c r="L41" s="14" t="str">
        <f aca="false">IF(AND('Backlog phân công'!$G41&lt;=7,'Backlog phân công'!$H41&gt;=7),"■","")</f>
        <v>■</v>
      </c>
      <c r="M41" s="14" t="str">
        <f aca="false">IF(AND('Backlog phân công'!$G41&lt;=8,'Backlog phân công'!$H41&gt;=8),"■","")</f>
        <v/>
      </c>
    </row>
    <row r="42" customFormat="false" ht="28.35" hidden="false" customHeight="false" outlineLevel="0" collapsed="false">
      <c r="A42" s="12" t="str">
        <f aca="false">'Backlog phân công'!A42</f>
        <v>R02</v>
      </c>
      <c r="B42" s="13" t="str">
        <f aca="false">'Backlog phân công'!D42</f>
        <v>Rerank top-k bằng LLM sau cờ SEARCH_RERANK_ENABLED + timeout fallback</v>
      </c>
      <c r="C42" s="12" t="str">
        <f aca="false">'Backlog phân công'!E42</f>
        <v>Mai Đức Vinh</v>
      </c>
      <c r="D42" s="12" t="str">
        <f aca="false">'Backlog phân công'!J42</f>
        <v>P1</v>
      </c>
      <c r="E42" s="12" t="n">
        <f aca="false">'Backlog phân công'!I42</f>
        <v>6</v>
      </c>
      <c r="F42" s="14" t="str">
        <f aca="false">IF(AND('Backlog phân công'!$G42&lt;=1,'Backlog phân công'!$H42&gt;=1),"■","")</f>
        <v/>
      </c>
      <c r="G42" s="14" t="str">
        <f aca="false">IF(AND('Backlog phân công'!$G42&lt;=2,'Backlog phân công'!$H42&gt;=2),"■","")</f>
        <v/>
      </c>
      <c r="H42" s="14" t="str">
        <f aca="false">IF(AND('Backlog phân công'!$G42&lt;=3,'Backlog phân công'!$H42&gt;=3),"■","")</f>
        <v/>
      </c>
      <c r="I42" s="14" t="str">
        <f aca="false">IF(AND('Backlog phân công'!$G42&lt;=4,'Backlog phân công'!$H42&gt;=4),"■","")</f>
        <v/>
      </c>
      <c r="J42" s="14" t="str">
        <f aca="false">IF(AND('Backlog phân công'!$G42&lt;=5,'Backlog phân công'!$H42&gt;=5),"■","")</f>
        <v/>
      </c>
      <c r="K42" s="14" t="str">
        <f aca="false">IF(AND('Backlog phân công'!$G42&lt;=6,'Backlog phân công'!$H42&gt;=6),"■","")</f>
        <v>■</v>
      </c>
      <c r="L42" s="14" t="str">
        <f aca="false">IF(AND('Backlog phân công'!$G42&lt;=7,'Backlog phân công'!$H42&gt;=7),"■","")</f>
        <v>■</v>
      </c>
      <c r="M42" s="14" t="str">
        <f aca="false">IF(AND('Backlog phân công'!$G42&lt;=8,'Backlog phân công'!$H42&gt;=8),"■","")</f>
        <v/>
      </c>
    </row>
    <row r="43" customFormat="false" ht="28.35" hidden="false" customHeight="false" outlineLevel="0" collapsed="false">
      <c r="A43" s="12" t="str">
        <f aca="false">'Backlog phân công'!A43</f>
        <v>X01</v>
      </c>
      <c r="B43" s="13" t="str">
        <f aca="false">'Backlog phân công'!D43</f>
        <v>Chat RAG: SSE, 5 cặp hỏi-đáp gần nhất, nguồn trích dẫn, Stop → vẫn trừ quota phần đã sinh</v>
      </c>
      <c r="C43" s="12" t="str">
        <f aca="false">'Backlog phân công'!E43</f>
        <v>Mai Đức Vinh</v>
      </c>
      <c r="D43" s="12" t="str">
        <f aca="false">'Backlog phân công'!J43</f>
        <v>P1</v>
      </c>
      <c r="E43" s="12" t="n">
        <f aca="false">'Backlog phân công'!I43</f>
        <v>12</v>
      </c>
      <c r="F43" s="14" t="str">
        <f aca="false">IF(AND('Backlog phân công'!$G43&lt;=1,'Backlog phân công'!$H43&gt;=1),"■","")</f>
        <v/>
      </c>
      <c r="G43" s="14" t="str">
        <f aca="false">IF(AND('Backlog phân công'!$G43&lt;=2,'Backlog phân công'!$H43&gt;=2),"■","")</f>
        <v/>
      </c>
      <c r="H43" s="14" t="str">
        <f aca="false">IF(AND('Backlog phân công'!$G43&lt;=3,'Backlog phân công'!$H43&gt;=3),"■","")</f>
        <v/>
      </c>
      <c r="I43" s="14" t="str">
        <f aca="false">IF(AND('Backlog phân công'!$G43&lt;=4,'Backlog phân công'!$H43&gt;=4),"■","")</f>
        <v/>
      </c>
      <c r="J43" s="14" t="str">
        <f aca="false">IF(AND('Backlog phân công'!$G43&lt;=5,'Backlog phân công'!$H43&gt;=5),"■","")</f>
        <v/>
      </c>
      <c r="K43" s="14" t="str">
        <f aca="false">IF(AND('Backlog phân công'!$G43&lt;=6,'Backlog phân công'!$H43&gt;=6),"■","")</f>
        <v>■</v>
      </c>
      <c r="L43" s="14" t="str">
        <f aca="false">IF(AND('Backlog phân công'!$G43&lt;=7,'Backlog phân công'!$H43&gt;=7),"■","")</f>
        <v>■</v>
      </c>
      <c r="M43" s="14" t="str">
        <f aca="false">IF(AND('Backlog phân công'!$G43&lt;=8,'Backlog phân công'!$H43&gt;=8),"■","")</f>
        <v/>
      </c>
    </row>
    <row r="44" customFormat="false" ht="28.35" hidden="false" customHeight="false" outlineLevel="0" collapsed="false">
      <c r="A44" s="12" t="str">
        <f aca="false">'Backlog phân công'!A44</f>
        <v>X02</v>
      </c>
      <c r="B44" s="13" t="str">
        <f aca="false">'Backlog phân công'!D44</f>
        <v>Chat UI: stream qua chrome.runtime Port, nút Stop, hiển thị nguồn</v>
      </c>
      <c r="C44" s="12" t="str">
        <f aca="false">'Backlog phân công'!E44</f>
        <v>Lê Đăng Sơn</v>
      </c>
      <c r="D44" s="12" t="str">
        <f aca="false">'Backlog phân công'!J44</f>
        <v>P1</v>
      </c>
      <c r="E44" s="12" t="n">
        <f aca="false">'Backlog phân công'!I44</f>
        <v>8</v>
      </c>
      <c r="F44" s="14" t="str">
        <f aca="false">IF(AND('Backlog phân công'!$G44&lt;=1,'Backlog phân công'!$H44&gt;=1),"■","")</f>
        <v/>
      </c>
      <c r="G44" s="14" t="str">
        <f aca="false">IF(AND('Backlog phân công'!$G44&lt;=2,'Backlog phân công'!$H44&gt;=2),"■","")</f>
        <v/>
      </c>
      <c r="H44" s="14" t="str">
        <f aca="false">IF(AND('Backlog phân công'!$G44&lt;=3,'Backlog phân công'!$H44&gt;=3),"■","")</f>
        <v/>
      </c>
      <c r="I44" s="14" t="str">
        <f aca="false">IF(AND('Backlog phân công'!$G44&lt;=4,'Backlog phân công'!$H44&gt;=4),"■","")</f>
        <v/>
      </c>
      <c r="J44" s="14" t="str">
        <f aca="false">IF(AND('Backlog phân công'!$G44&lt;=5,'Backlog phân công'!$H44&gt;=5),"■","")</f>
        <v/>
      </c>
      <c r="K44" s="14" t="str">
        <f aca="false">IF(AND('Backlog phân công'!$G44&lt;=6,'Backlog phân công'!$H44&gt;=6),"■","")</f>
        <v/>
      </c>
      <c r="L44" s="14" t="str">
        <f aca="false">IF(AND('Backlog phân công'!$G44&lt;=7,'Backlog phân công'!$H44&gt;=7),"■","")</f>
        <v>■</v>
      </c>
      <c r="M44" s="14" t="str">
        <f aca="false">IF(AND('Backlog phân công'!$G44&lt;=8,'Backlog phân công'!$H44&gt;=8),"■","")</f>
        <v/>
      </c>
    </row>
    <row r="45" customFormat="false" ht="15" hidden="false" customHeight="false" outlineLevel="0" collapsed="false">
      <c r="A45" s="12" t="str">
        <f aca="false">'Backlog phân công'!A45</f>
        <v>X03</v>
      </c>
      <c r="B45" s="13" t="str">
        <f aca="false">'Backlog phân công'!D45</f>
        <v>Gắn thẻ &amp; lọc theo thẻ (bảng tags, note_tags) + UI lọc</v>
      </c>
      <c r="C45" s="12" t="str">
        <f aca="false">'Backlog phân công'!E45</f>
        <v>Trịnh Mạnh Quang</v>
      </c>
      <c r="D45" s="12" t="str">
        <f aca="false">'Backlog phân công'!J45</f>
        <v>P1</v>
      </c>
      <c r="E45" s="12" t="n">
        <f aca="false">'Backlog phân công'!I45</f>
        <v>8</v>
      </c>
      <c r="F45" s="14" t="str">
        <f aca="false">IF(AND('Backlog phân công'!$G45&lt;=1,'Backlog phân công'!$H45&gt;=1),"■","")</f>
        <v/>
      </c>
      <c r="G45" s="14" t="str">
        <f aca="false">IF(AND('Backlog phân công'!$G45&lt;=2,'Backlog phân công'!$H45&gt;=2),"■","")</f>
        <v/>
      </c>
      <c r="H45" s="14" t="str">
        <f aca="false">IF(AND('Backlog phân công'!$G45&lt;=3,'Backlog phân công'!$H45&gt;=3),"■","")</f>
        <v/>
      </c>
      <c r="I45" s="14" t="str">
        <f aca="false">IF(AND('Backlog phân công'!$G45&lt;=4,'Backlog phân công'!$H45&gt;=4),"■","")</f>
        <v/>
      </c>
      <c r="J45" s="14" t="str">
        <f aca="false">IF(AND('Backlog phân công'!$G45&lt;=5,'Backlog phân công'!$H45&gt;=5),"■","")</f>
        <v/>
      </c>
      <c r="K45" s="14" t="str">
        <f aca="false">IF(AND('Backlog phân công'!$G45&lt;=6,'Backlog phân công'!$H45&gt;=6),"■","")</f>
        <v>■</v>
      </c>
      <c r="L45" s="14" t="str">
        <f aca="false">IF(AND('Backlog phân công'!$G45&lt;=7,'Backlog phân công'!$H45&gt;=7),"■","")</f>
        <v>■</v>
      </c>
      <c r="M45" s="14" t="str">
        <f aca="false">IF(AND('Backlog phân công'!$G45&lt;=8,'Backlog phân công'!$H45&gt;=8),"■","")</f>
        <v/>
      </c>
    </row>
    <row r="46" customFormat="false" ht="28.35" hidden="false" customHeight="false" outlineLevel="0" collapsed="false">
      <c r="A46" s="12" t="str">
        <f aca="false">'Backlog phân công'!A46</f>
        <v>RET-01</v>
      </c>
      <c r="B46" s="13" t="str">
        <f aca="false">'Backlog phân công'!D46</f>
        <v>Job dọn dữ liệu tài khoản không hoạt động &gt; 1 năm (NFR lưu trữ) + cảnh báo trước</v>
      </c>
      <c r="C46" s="12" t="str">
        <f aca="false">'Backlog phân công'!E46</f>
        <v>Trịnh Mạnh Quang</v>
      </c>
      <c r="D46" s="12" t="str">
        <f aca="false">'Backlog phân công'!J46</f>
        <v>P1</v>
      </c>
      <c r="E46" s="12" t="n">
        <f aca="false">'Backlog phân công'!I46</f>
        <v>4</v>
      </c>
      <c r="F46" s="14" t="str">
        <f aca="false">IF(AND('Backlog phân công'!$G46&lt;=1,'Backlog phân công'!$H46&gt;=1),"■","")</f>
        <v/>
      </c>
      <c r="G46" s="14" t="str">
        <f aca="false">IF(AND('Backlog phân công'!$G46&lt;=2,'Backlog phân công'!$H46&gt;=2),"■","")</f>
        <v/>
      </c>
      <c r="H46" s="14" t="str">
        <f aca="false">IF(AND('Backlog phân công'!$G46&lt;=3,'Backlog phân công'!$H46&gt;=3),"■","")</f>
        <v/>
      </c>
      <c r="I46" s="14" t="str">
        <f aca="false">IF(AND('Backlog phân công'!$G46&lt;=4,'Backlog phân công'!$H46&gt;=4),"■","")</f>
        <v/>
      </c>
      <c r="J46" s="14" t="str">
        <f aca="false">IF(AND('Backlog phân công'!$G46&lt;=5,'Backlog phân công'!$H46&gt;=5),"■","")</f>
        <v/>
      </c>
      <c r="K46" s="14" t="str">
        <f aca="false">IF(AND('Backlog phân công'!$G46&lt;=6,'Backlog phân công'!$H46&gt;=6),"■","")</f>
        <v/>
      </c>
      <c r="L46" s="14" t="str">
        <f aca="false">IF(AND('Backlog phân công'!$G46&lt;=7,'Backlog phân công'!$H46&gt;=7),"■","")</f>
        <v>■</v>
      </c>
      <c r="M46" s="14" t="str">
        <f aca="false">IF(AND('Backlog phân công'!$G46&lt;=8,'Backlog phân công'!$H46&gt;=8),"■","")</f>
        <v/>
      </c>
    </row>
    <row r="47" customFormat="false" ht="28.35" hidden="false" customHeight="false" outlineLevel="0" collapsed="false">
      <c r="A47" s="12" t="str">
        <f aca="false">'Backlog phân công'!A47</f>
        <v>H01</v>
      </c>
      <c r="B47" s="13" t="str">
        <f aca="false">'Backlog phân công'!D47</f>
        <v>Rà soát extension: permission tối thiểu, CSP, nơi lưu token, không secret trong bundle</v>
      </c>
      <c r="C47" s="12" t="str">
        <f aca="false">'Backlog phân công'!E47</f>
        <v>Lê Đăng Sơn</v>
      </c>
      <c r="D47" s="12" t="str">
        <f aca="false">'Backlog phân công'!J47</f>
        <v>P0</v>
      </c>
      <c r="E47" s="12" t="n">
        <f aca="false">'Backlog phân công'!I47</f>
        <v>5</v>
      </c>
      <c r="F47" s="14" t="str">
        <f aca="false">IF(AND('Backlog phân công'!$G47&lt;=1,'Backlog phân công'!$H47&gt;=1),"■","")</f>
        <v/>
      </c>
      <c r="G47" s="14" t="str">
        <f aca="false">IF(AND('Backlog phân công'!$G47&lt;=2,'Backlog phân công'!$H47&gt;=2),"■","")</f>
        <v/>
      </c>
      <c r="H47" s="14" t="str">
        <f aca="false">IF(AND('Backlog phân công'!$G47&lt;=3,'Backlog phân công'!$H47&gt;=3),"■","")</f>
        <v/>
      </c>
      <c r="I47" s="14" t="str">
        <f aca="false">IF(AND('Backlog phân công'!$G47&lt;=4,'Backlog phân công'!$H47&gt;=4),"■","")</f>
        <v/>
      </c>
      <c r="J47" s="14" t="str">
        <f aca="false">IF(AND('Backlog phân công'!$G47&lt;=5,'Backlog phân công'!$H47&gt;=5),"■","")</f>
        <v/>
      </c>
      <c r="K47" s="14" t="str">
        <f aca="false">IF(AND('Backlog phân công'!$G47&lt;=6,'Backlog phân công'!$H47&gt;=6),"■","")</f>
        <v/>
      </c>
      <c r="L47" s="14" t="str">
        <f aca="false">IF(AND('Backlog phân công'!$G47&lt;=7,'Backlog phân công'!$H47&gt;=7),"■","")</f>
        <v>■</v>
      </c>
      <c r="M47" s="14" t="str">
        <f aca="false">IF(AND('Backlog phân công'!$G47&lt;=8,'Backlog phân công'!$H47&gt;=8),"■","")</f>
        <v>■</v>
      </c>
    </row>
    <row r="48" customFormat="false" ht="28.35" hidden="false" customHeight="false" outlineLevel="0" collapsed="false">
      <c r="A48" s="12" t="str">
        <f aca="false">'Backlog phân công'!A48</f>
        <v>H02</v>
      </c>
      <c r="B48" s="13" t="str">
        <f aca="false">'Backlog phân công'!D48</f>
        <v>Hardening backend: rate limit, CORS đúng extension ID, HTTPS, bộ test IDOR cho mọi endpoint</v>
      </c>
      <c r="C48" s="12" t="str">
        <f aca="false">'Backlog phân công'!E48</f>
        <v>Trịnh Mạnh Quang</v>
      </c>
      <c r="D48" s="12" t="str">
        <f aca="false">'Backlog phân công'!J48</f>
        <v>P0</v>
      </c>
      <c r="E48" s="12" t="n">
        <f aca="false">'Backlog phân công'!I48</f>
        <v>8</v>
      </c>
      <c r="F48" s="14" t="str">
        <f aca="false">IF(AND('Backlog phân công'!$G48&lt;=1,'Backlog phân công'!$H48&gt;=1),"■","")</f>
        <v/>
      </c>
      <c r="G48" s="14" t="str">
        <f aca="false">IF(AND('Backlog phân công'!$G48&lt;=2,'Backlog phân công'!$H48&gt;=2),"■","")</f>
        <v/>
      </c>
      <c r="H48" s="14" t="str">
        <f aca="false">IF(AND('Backlog phân công'!$G48&lt;=3,'Backlog phân công'!$H48&gt;=3),"■","")</f>
        <v/>
      </c>
      <c r="I48" s="14" t="str">
        <f aca="false">IF(AND('Backlog phân công'!$G48&lt;=4,'Backlog phân công'!$H48&gt;=4),"■","")</f>
        <v/>
      </c>
      <c r="J48" s="14" t="str">
        <f aca="false">IF(AND('Backlog phân công'!$G48&lt;=5,'Backlog phân công'!$H48&gt;=5),"■","")</f>
        <v/>
      </c>
      <c r="K48" s="14" t="str">
        <f aca="false">IF(AND('Backlog phân công'!$G48&lt;=6,'Backlog phân công'!$H48&gt;=6),"■","")</f>
        <v/>
      </c>
      <c r="L48" s="14" t="str">
        <f aca="false">IF(AND('Backlog phân công'!$G48&lt;=7,'Backlog phân công'!$H48&gt;=7),"■","")</f>
        <v>■</v>
      </c>
      <c r="M48" s="14" t="str">
        <f aca="false">IF(AND('Backlog phân công'!$G48&lt;=8,'Backlog phân công'!$H48&gt;=8),"■","")</f>
        <v>■</v>
      </c>
    </row>
    <row r="49" customFormat="false" ht="28.35" hidden="false" customHeight="false" outlineLevel="0" collapsed="false">
      <c r="A49" s="12" t="str">
        <f aca="false">'Backlog phân công'!A49</f>
        <v>H03</v>
      </c>
      <c r="B49" s="13" t="str">
        <f aca="false">'Backlog phân công'!D49</f>
        <v>Bộ đánh giá relevance/latency (Recall@5, MRR) + ngưỡng chấp nhận</v>
      </c>
      <c r="C49" s="12" t="str">
        <f aca="false">'Backlog phân công'!E49</f>
        <v>Mai Đức Vinh</v>
      </c>
      <c r="D49" s="12" t="str">
        <f aca="false">'Backlog phân công'!J49</f>
        <v>P0</v>
      </c>
      <c r="E49" s="12" t="n">
        <f aca="false">'Backlog phân công'!I49</f>
        <v>8</v>
      </c>
      <c r="F49" s="14" t="str">
        <f aca="false">IF(AND('Backlog phân công'!$G49&lt;=1,'Backlog phân công'!$H49&gt;=1),"■","")</f>
        <v/>
      </c>
      <c r="G49" s="14" t="str">
        <f aca="false">IF(AND('Backlog phân công'!$G49&lt;=2,'Backlog phân công'!$H49&gt;=2),"■","")</f>
        <v/>
      </c>
      <c r="H49" s="14" t="str">
        <f aca="false">IF(AND('Backlog phân công'!$G49&lt;=3,'Backlog phân công'!$H49&gt;=3),"■","")</f>
        <v/>
      </c>
      <c r="I49" s="14" t="str">
        <f aca="false">IF(AND('Backlog phân công'!$G49&lt;=4,'Backlog phân công'!$H49&gt;=4),"■","")</f>
        <v/>
      </c>
      <c r="J49" s="14" t="str">
        <f aca="false">IF(AND('Backlog phân công'!$G49&lt;=5,'Backlog phân công'!$H49&gt;=5),"■","")</f>
        <v/>
      </c>
      <c r="K49" s="14" t="str">
        <f aca="false">IF(AND('Backlog phân công'!$G49&lt;=6,'Backlog phân công'!$H49&gt;=6),"■","")</f>
        <v/>
      </c>
      <c r="L49" s="14" t="str">
        <f aca="false">IF(AND('Backlog phân công'!$G49&lt;=7,'Backlog phân công'!$H49&gt;=7),"■","")</f>
        <v>■</v>
      </c>
      <c r="M49" s="14" t="str">
        <f aca="false">IF(AND('Backlog phân công'!$G49&lt;=8,'Backlog phân công'!$H49&gt;=8),"■","")</f>
        <v>■</v>
      </c>
    </row>
    <row r="50" customFormat="false" ht="28.35" hidden="false" customHeight="false" outlineLevel="0" collapsed="false">
      <c r="A50" s="12" t="str">
        <f aca="false">'Backlog phân công'!A50</f>
        <v>H04</v>
      </c>
      <c r="B50" s="13" t="str">
        <f aca="false">'Backlog phân công'!D50</f>
        <v>Deploy cloud (API + worker + Postgres/pgvector), secret, backup, runbook</v>
      </c>
      <c r="C50" s="12" t="str">
        <f aca="false">'Backlog phân công'!E50</f>
        <v>Trịnh Mạnh Quang</v>
      </c>
      <c r="D50" s="12" t="str">
        <f aca="false">'Backlog phân công'!J50</f>
        <v>P0</v>
      </c>
      <c r="E50" s="12" t="n">
        <f aca="false">'Backlog phân công'!I50</f>
        <v>8</v>
      </c>
      <c r="F50" s="14" t="str">
        <f aca="false">IF(AND('Backlog phân công'!$G50&lt;=1,'Backlog phân công'!$H50&gt;=1),"■","")</f>
        <v/>
      </c>
      <c r="G50" s="14" t="str">
        <f aca="false">IF(AND('Backlog phân công'!$G50&lt;=2,'Backlog phân công'!$H50&gt;=2),"■","")</f>
        <v/>
      </c>
      <c r="H50" s="14" t="str">
        <f aca="false">IF(AND('Backlog phân công'!$G50&lt;=3,'Backlog phân công'!$H50&gt;=3),"■","")</f>
        <v/>
      </c>
      <c r="I50" s="14" t="str">
        <f aca="false">IF(AND('Backlog phân công'!$G50&lt;=4,'Backlog phân công'!$H50&gt;=4),"■","")</f>
        <v/>
      </c>
      <c r="J50" s="14" t="str">
        <f aca="false">IF(AND('Backlog phân công'!$G50&lt;=5,'Backlog phân công'!$H50&gt;=5),"■","")</f>
        <v/>
      </c>
      <c r="K50" s="14" t="str">
        <f aca="false">IF(AND('Backlog phân công'!$G50&lt;=6,'Backlog phân công'!$H50&gt;=6),"■","")</f>
        <v/>
      </c>
      <c r="L50" s="14" t="str">
        <f aca="false">IF(AND('Backlog phân công'!$G50&lt;=7,'Backlog phân công'!$H50&gt;=7),"■","")</f>
        <v>■</v>
      </c>
      <c r="M50" s="14" t="str">
        <f aca="false">IF(AND('Backlog phân công'!$G50&lt;=8,'Backlog phân công'!$H50&gt;=8),"■","")</f>
        <v>■</v>
      </c>
    </row>
    <row r="51" customFormat="false" ht="28.35" hidden="false" customHeight="false" outlineLevel="0" collapsed="false">
      <c r="A51" s="12" t="str">
        <f aca="false">'Backlog phân công'!A51</f>
        <v>H05</v>
      </c>
      <c r="B51" s="13" t="str">
        <f aca="false">'Backlog phân công'!D51</f>
        <v>Regression E2E, usability, accessibility, kiểm thử kịch bản demo</v>
      </c>
      <c r="C51" s="12" t="str">
        <f aca="false">'Backlog phân công'!E51</f>
        <v>Trần Thùy Dương</v>
      </c>
      <c r="D51" s="12" t="str">
        <f aca="false">'Backlog phân công'!J51</f>
        <v>P0</v>
      </c>
      <c r="E51" s="12" t="n">
        <f aca="false">'Backlog phân công'!I51</f>
        <v>10</v>
      </c>
      <c r="F51" s="14" t="str">
        <f aca="false">IF(AND('Backlog phân công'!$G51&lt;=1,'Backlog phân công'!$H51&gt;=1),"■","")</f>
        <v/>
      </c>
      <c r="G51" s="14" t="str">
        <f aca="false">IF(AND('Backlog phân công'!$G51&lt;=2,'Backlog phân công'!$H51&gt;=2),"■","")</f>
        <v/>
      </c>
      <c r="H51" s="14" t="str">
        <f aca="false">IF(AND('Backlog phân công'!$G51&lt;=3,'Backlog phân công'!$H51&gt;=3),"■","")</f>
        <v/>
      </c>
      <c r="I51" s="14" t="str">
        <f aca="false">IF(AND('Backlog phân công'!$G51&lt;=4,'Backlog phân công'!$H51&gt;=4),"■","")</f>
        <v/>
      </c>
      <c r="J51" s="14" t="str">
        <f aca="false">IF(AND('Backlog phân công'!$G51&lt;=5,'Backlog phân công'!$H51&gt;=5),"■","")</f>
        <v/>
      </c>
      <c r="K51" s="14" t="str">
        <f aca="false">IF(AND('Backlog phân công'!$G51&lt;=6,'Backlog phân công'!$H51&gt;=6),"■","")</f>
        <v/>
      </c>
      <c r="L51" s="14" t="str">
        <f aca="false">IF(AND('Backlog phân công'!$G51&lt;=7,'Backlog phân công'!$H51&gt;=7),"■","")</f>
        <v/>
      </c>
      <c r="M51" s="14" t="str">
        <f aca="false">IF(AND('Backlog phân công'!$G51&lt;=8,'Backlog phân công'!$H51&gt;=8),"■","")</f>
        <v>■</v>
      </c>
    </row>
    <row r="52" customFormat="false" ht="15" hidden="false" customHeight="false" outlineLevel="0" collapsed="false">
      <c r="A52" s="12" t="str">
        <f aca="false">'Backlog phân công'!A52</f>
        <v>H06</v>
      </c>
      <c r="B52" s="13" t="str">
        <f aca="false">'Backlog phân công'!D52</f>
        <v>Tối ưu, sửa lỗi tích hợp extension, đóng gói zip phát hành</v>
      </c>
      <c r="C52" s="12" t="str">
        <f aca="false">'Backlog phân công'!E52</f>
        <v>Lê Đăng Sơn</v>
      </c>
      <c r="D52" s="12" t="str">
        <f aca="false">'Backlog phân công'!J52</f>
        <v>P0</v>
      </c>
      <c r="E52" s="12" t="n">
        <f aca="false">'Backlog phân công'!I52</f>
        <v>8</v>
      </c>
      <c r="F52" s="14" t="str">
        <f aca="false">IF(AND('Backlog phân công'!$G52&lt;=1,'Backlog phân công'!$H52&gt;=1),"■","")</f>
        <v/>
      </c>
      <c r="G52" s="14" t="str">
        <f aca="false">IF(AND('Backlog phân công'!$G52&lt;=2,'Backlog phân công'!$H52&gt;=2),"■","")</f>
        <v/>
      </c>
      <c r="H52" s="14" t="str">
        <f aca="false">IF(AND('Backlog phân công'!$G52&lt;=3,'Backlog phân công'!$H52&gt;=3),"■","")</f>
        <v/>
      </c>
      <c r="I52" s="14" t="str">
        <f aca="false">IF(AND('Backlog phân công'!$G52&lt;=4,'Backlog phân công'!$H52&gt;=4),"■","")</f>
        <v/>
      </c>
      <c r="J52" s="14" t="str">
        <f aca="false">IF(AND('Backlog phân công'!$G52&lt;=5,'Backlog phân công'!$H52&gt;=5),"■","")</f>
        <v/>
      </c>
      <c r="K52" s="14" t="str">
        <f aca="false">IF(AND('Backlog phân công'!$G52&lt;=6,'Backlog phân công'!$H52&gt;=6),"■","")</f>
        <v/>
      </c>
      <c r="L52" s="14" t="str">
        <f aca="false">IF(AND('Backlog phân công'!$G52&lt;=7,'Backlog phân công'!$H52&gt;=7),"■","")</f>
        <v/>
      </c>
      <c r="M52" s="14" t="str">
        <f aca="false">IF(AND('Backlog phân công'!$G52&lt;=8,'Backlog phân công'!$H52&gt;=8),"■","")</f>
        <v>■</v>
      </c>
    </row>
    <row r="53" customFormat="false" ht="28.35" hidden="false" customHeight="false" outlineLevel="0" collapsed="false">
      <c r="A53" s="12" t="str">
        <f aca="false">'Backlog phân công'!A53</f>
        <v>H07</v>
      </c>
      <c r="B53" s="13" t="str">
        <f aca="false">'Backlog phân công'!D53</f>
        <v>Release candidate server: migration, cấu hình demo, smoke test</v>
      </c>
      <c r="C53" s="12" t="str">
        <f aca="false">'Backlog phân công'!E53</f>
        <v>Trịnh Mạnh Quang</v>
      </c>
      <c r="D53" s="12" t="str">
        <f aca="false">'Backlog phân công'!J53</f>
        <v>P0</v>
      </c>
      <c r="E53" s="12" t="n">
        <f aca="false">'Backlog phân công'!I53</f>
        <v>5</v>
      </c>
      <c r="F53" s="14" t="str">
        <f aca="false">IF(AND('Backlog phân công'!$G53&lt;=1,'Backlog phân công'!$H53&gt;=1),"■","")</f>
        <v/>
      </c>
      <c r="G53" s="14" t="str">
        <f aca="false">IF(AND('Backlog phân công'!$G53&lt;=2,'Backlog phân công'!$H53&gt;=2),"■","")</f>
        <v/>
      </c>
      <c r="H53" s="14" t="str">
        <f aca="false">IF(AND('Backlog phân công'!$G53&lt;=3,'Backlog phân công'!$H53&gt;=3),"■","")</f>
        <v/>
      </c>
      <c r="I53" s="14" t="str">
        <f aca="false">IF(AND('Backlog phân công'!$G53&lt;=4,'Backlog phân công'!$H53&gt;=4),"■","")</f>
        <v/>
      </c>
      <c r="J53" s="14" t="str">
        <f aca="false">IF(AND('Backlog phân công'!$G53&lt;=5,'Backlog phân công'!$H53&gt;=5),"■","")</f>
        <v/>
      </c>
      <c r="K53" s="14" t="str">
        <f aca="false">IF(AND('Backlog phân công'!$G53&lt;=6,'Backlog phân công'!$H53&gt;=6),"■","")</f>
        <v/>
      </c>
      <c r="L53" s="14" t="str">
        <f aca="false">IF(AND('Backlog phân công'!$G53&lt;=7,'Backlog phân công'!$H53&gt;=7),"■","")</f>
        <v/>
      </c>
      <c r="M53" s="14" t="str">
        <f aca="false">IF(AND('Backlog phân công'!$G53&lt;=8,'Backlog phân công'!$H53&gt;=8),"■","")</f>
        <v>■</v>
      </c>
    </row>
    <row r="54" customFormat="false" ht="28.35" hidden="false" customHeight="false" outlineLevel="0" collapsed="false">
      <c r="A54" s="12" t="str">
        <f aca="false">'Backlog phân công'!A54</f>
        <v>H08</v>
      </c>
      <c r="B54" s="13" t="str">
        <f aca="false">'Backlog phân công'!D54</f>
        <v>Báo cáo cuối, hướng dẫn sử dụng, kịch bản thuyết trình 10–15'</v>
      </c>
      <c r="C54" s="12" t="str">
        <f aca="false">'Backlog phân công'!E54</f>
        <v>Trần Thùy Dương</v>
      </c>
      <c r="D54" s="12" t="str">
        <f aca="false">'Backlog phân công'!J54</f>
        <v>P0</v>
      </c>
      <c r="E54" s="12" t="n">
        <f aca="false">'Backlog phân công'!I54</f>
        <v>8</v>
      </c>
      <c r="F54" s="14" t="str">
        <f aca="false">IF(AND('Backlog phân công'!$G54&lt;=1,'Backlog phân công'!$H54&gt;=1),"■","")</f>
        <v/>
      </c>
      <c r="G54" s="14" t="str">
        <f aca="false">IF(AND('Backlog phân công'!$G54&lt;=2,'Backlog phân công'!$H54&gt;=2),"■","")</f>
        <v/>
      </c>
      <c r="H54" s="14" t="str">
        <f aca="false">IF(AND('Backlog phân công'!$G54&lt;=3,'Backlog phân công'!$H54&gt;=3),"■","")</f>
        <v/>
      </c>
      <c r="I54" s="14" t="str">
        <f aca="false">IF(AND('Backlog phân công'!$G54&lt;=4,'Backlog phân công'!$H54&gt;=4),"■","")</f>
        <v/>
      </c>
      <c r="J54" s="14" t="str">
        <f aca="false">IF(AND('Backlog phân công'!$G54&lt;=5,'Backlog phân công'!$H54&gt;=5),"■","")</f>
        <v/>
      </c>
      <c r="K54" s="14" t="str">
        <f aca="false">IF(AND('Backlog phân công'!$G54&lt;=6,'Backlog phân công'!$H54&gt;=6),"■","")</f>
        <v/>
      </c>
      <c r="L54" s="14" t="str">
        <f aca="false">IF(AND('Backlog phân công'!$G54&lt;=7,'Backlog phân công'!$H54&gt;=7),"■","")</f>
        <v/>
      </c>
      <c r="M54" s="14" t="str">
        <f aca="false">IF(AND('Backlog phân công'!$G54&lt;=8,'Backlog phân công'!$H54&gt;=8),"■","")</f>
        <v>■</v>
      </c>
    </row>
  </sheetData>
  <mergeCells count="1">
    <mergeCell ref="A1:M1"/>
  </mergeCells>
  <conditionalFormatting sqref="F4:M54">
    <cfRule type="expression" priority="2" aboveAverage="0" equalAverage="0" bottom="0" percent="0" rank="0" text="" dxfId="2">
      <formula>F4="■"</formula>
    </cfRule>
  </conditionalFormatting>
  <conditionalFormatting sqref="A4:M54">
    <cfRule type="expression" priority="3" aboveAverage="0" equalAverage="0" bottom="0" percent="0" rank="0" text="" dxfId="1">
      <formula>$D4="P1"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9"/>
    <col collapsed="false" customWidth="true" hidden="false" outlineLevel="0" max="4" min="3" style="0" width="12"/>
    <col collapsed="false" customWidth="true" hidden="false" outlineLevel="0" max="12" min="5" style="0" width="11"/>
  </cols>
  <sheetData>
    <row r="1" customFormat="false" ht="30" hidden="false" customHeight="true" outlineLevel="0" collapsed="false">
      <c r="A1" s="1" t="s">
        <v>486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5" t="s">
        <v>24</v>
      </c>
      <c r="B3" s="5" t="s">
        <v>487</v>
      </c>
      <c r="C3" s="5" t="s">
        <v>488</v>
      </c>
      <c r="D3" s="5" t="s">
        <v>489</v>
      </c>
      <c r="E3" s="5" t="s">
        <v>490</v>
      </c>
      <c r="F3" s="5" t="s">
        <v>491</v>
      </c>
      <c r="G3" s="5" t="s">
        <v>492</v>
      </c>
      <c r="H3" s="5" t="s">
        <v>493</v>
      </c>
      <c r="I3" s="5" t="s">
        <v>494</v>
      </c>
      <c r="J3" s="5" t="s">
        <v>495</v>
      </c>
      <c r="K3" s="5" t="s">
        <v>496</v>
      </c>
      <c r="L3" s="5" t="s">
        <v>497</v>
      </c>
    </row>
    <row r="4" customFormat="false" ht="15" hidden="false" customHeight="false" outlineLevel="0" collapsed="false">
      <c r="A4" s="3" t="s">
        <v>27</v>
      </c>
      <c r="B4" s="3" t="s">
        <v>28</v>
      </c>
      <c r="C4" s="3" t="n">
        <f aca="false">COUNTIF('Backlog phân công'!$E$4:$E$54,A4)</f>
        <v>14</v>
      </c>
      <c r="D4" s="3" t="n">
        <f aca="false">SUMIF('Backlog phân công'!$E$4:$E$54,A4,'Backlog phân công'!$I$4:$I$54)</f>
        <v>86</v>
      </c>
      <c r="E4" s="15" t="n">
        <f aca="false">SUMPRODUCT(('Backlog phân công'!$E$4:$E$54=$A4)*('Backlog phân công'!$G$4:$G$54&lt;=1)*('Backlog phân công'!$H$4:$H$54&gt;=1)*('Backlog phân công'!$I$4:$I$54/('Backlog phân công'!$H$4:$H$54-'Backlog phân công'!$G$4:$G$54+1)))</f>
        <v>12</v>
      </c>
      <c r="F4" s="15" t="n">
        <f aca="false">SUMPRODUCT(('Backlog phân công'!$E$4:$E$54=$A4)*('Backlog phân công'!$G$4:$G$54&lt;=2)*('Backlog phân công'!$H$4:$H$54&gt;=2)*('Backlog phân công'!$I$4:$I$54/('Backlog phân công'!$H$4:$H$54-'Backlog phân công'!$G$4:$G$54+1)))</f>
        <v>9</v>
      </c>
      <c r="G4" s="15" t="n">
        <f aca="false">SUMPRODUCT(('Backlog phân công'!$E$4:$E$54=$A4)*('Backlog phân công'!$G$4:$G$54&lt;=3)*('Backlog phân công'!$H$4:$H$54&gt;=3)*('Backlog phân công'!$I$4:$I$54/('Backlog phân công'!$H$4:$H$54-'Backlog phân công'!$G$4:$G$54+1)))</f>
        <v>13</v>
      </c>
      <c r="H4" s="15" t="n">
        <f aca="false">SUMPRODUCT(('Backlog phân công'!$E$4:$E$54=$A4)*('Backlog phân công'!$G$4:$G$54&lt;=4)*('Backlog phân công'!$H$4:$H$54&gt;=4)*('Backlog phân công'!$I$4:$I$54/('Backlog phân công'!$H$4:$H$54-'Backlog phân công'!$G$4:$G$54+1)))</f>
        <v>15</v>
      </c>
      <c r="I4" s="15" t="n">
        <f aca="false">SUMPRODUCT(('Backlog phân công'!$E$4:$E$54=$A4)*('Backlog phân công'!$G$4:$G$54&lt;=5)*('Backlog phân công'!$H$4:$H$54&gt;=5)*('Backlog phân công'!$I$4:$I$54/('Backlog phân công'!$H$4:$H$54-'Backlog phân công'!$G$4:$G$54+1)))</f>
        <v>10</v>
      </c>
      <c r="J4" s="15" t="n">
        <f aca="false">SUMPRODUCT(('Backlog phân công'!$E$4:$E$54=$A4)*('Backlog phân công'!$G$4:$G$54&lt;=6)*('Backlog phân công'!$H$4:$H$54&gt;=6)*('Backlog phân công'!$I$4:$I$54/('Backlog phân công'!$H$4:$H$54-'Backlog phân công'!$G$4:$G$54+1)))</f>
        <v>6</v>
      </c>
      <c r="K4" s="15" t="n">
        <f aca="false">SUMPRODUCT(('Backlog phân công'!$E$4:$E$54=$A4)*('Backlog phân công'!$G$4:$G$54&lt;=7)*('Backlog phân công'!$H$4:$H$54&gt;=7)*('Backlog phân công'!$I$4:$I$54/('Backlog phân công'!$H$4:$H$54-'Backlog phân công'!$G$4:$G$54+1)))</f>
        <v>10.5</v>
      </c>
      <c r="L4" s="15" t="n">
        <f aca="false">SUMPRODUCT(('Backlog phân công'!$E$4:$E$54=$A4)*('Backlog phân công'!$G$4:$G$54&lt;=8)*('Backlog phân công'!$H$4:$H$54&gt;=8)*('Backlog phân công'!$I$4:$I$54/('Backlog phân công'!$H$4:$H$54-'Backlog phân công'!$G$4:$G$54+1)))</f>
        <v>10.5</v>
      </c>
    </row>
    <row r="5" customFormat="false" ht="28.35" hidden="false" customHeight="false" outlineLevel="0" collapsed="false">
      <c r="A5" s="3" t="s">
        <v>30</v>
      </c>
      <c r="B5" s="3" t="s">
        <v>31</v>
      </c>
      <c r="C5" s="3" t="n">
        <f aca="false">COUNTIF('Backlog phân công'!$E$4:$E$54,A5)</f>
        <v>13</v>
      </c>
      <c r="D5" s="3" t="n">
        <f aca="false">SUMIF('Backlog phân công'!$E$4:$E$54,A5,'Backlog phân công'!$I$4:$I$54)</f>
        <v>79</v>
      </c>
      <c r="E5" s="15" t="n">
        <f aca="false">SUMPRODUCT(('Backlog phân công'!$E$4:$E$54=$A5)*('Backlog phân công'!$G$4:$G$54&lt;=1)*('Backlog phân công'!$H$4:$H$54&gt;=1)*('Backlog phân công'!$I$4:$I$54/('Backlog phân công'!$H$4:$H$54-'Backlog phân công'!$G$4:$G$54+1)))</f>
        <v>7</v>
      </c>
      <c r="F5" s="15" t="n">
        <f aca="false">SUMPRODUCT(('Backlog phân công'!$E$4:$E$54=$A5)*('Backlog phân công'!$G$4:$G$54&lt;=2)*('Backlog phân công'!$H$4:$H$54&gt;=2)*('Backlog phân công'!$I$4:$I$54/('Backlog phân công'!$H$4:$H$54-'Backlog phân công'!$G$4:$G$54+1)))</f>
        <v>11</v>
      </c>
      <c r="G5" s="15" t="n">
        <f aca="false">SUMPRODUCT(('Backlog phân công'!$E$4:$E$54=$A5)*('Backlog phân công'!$G$4:$G$54&lt;=3)*('Backlog phân công'!$H$4:$H$54&gt;=3)*('Backlog phân công'!$I$4:$I$54/('Backlog phân công'!$H$4:$H$54-'Backlog phân công'!$G$4:$G$54+1)))</f>
        <v>16</v>
      </c>
      <c r="H5" s="15" t="n">
        <f aca="false">SUMPRODUCT(('Backlog phân công'!$E$4:$E$54=$A5)*('Backlog phân công'!$G$4:$G$54&lt;=4)*('Backlog phân công'!$H$4:$H$54&gt;=4)*('Backlog phân công'!$I$4:$I$54/('Backlog phân công'!$H$4:$H$54-'Backlog phân công'!$G$4:$G$54+1)))</f>
        <v>8</v>
      </c>
      <c r="I5" s="15" t="n">
        <f aca="false">SUMPRODUCT(('Backlog phân công'!$E$4:$E$54=$A5)*('Backlog phân công'!$G$4:$G$54&lt;=5)*('Backlog phân công'!$H$4:$H$54&gt;=5)*('Backlog phân công'!$I$4:$I$54/('Backlog phân công'!$H$4:$H$54-'Backlog phân công'!$G$4:$G$54+1)))</f>
        <v>4</v>
      </c>
      <c r="J5" s="15" t="n">
        <f aca="false">SUMPRODUCT(('Backlog phân công'!$E$4:$E$54=$A5)*('Backlog phân công'!$G$4:$G$54&lt;=6)*('Backlog phân công'!$H$4:$H$54&gt;=6)*('Backlog phân công'!$I$4:$I$54/('Backlog phân công'!$H$4:$H$54-'Backlog phân công'!$G$4:$G$54+1)))</f>
        <v>4</v>
      </c>
      <c r="K5" s="15" t="n">
        <f aca="false">SUMPRODUCT(('Backlog phân công'!$E$4:$E$54=$A5)*('Backlog phân công'!$G$4:$G$54&lt;=7)*('Backlog phân công'!$H$4:$H$54&gt;=7)*('Backlog phân công'!$I$4:$I$54/('Backlog phân công'!$H$4:$H$54-'Backlog phân công'!$G$4:$G$54+1)))</f>
        <v>16</v>
      </c>
      <c r="L5" s="15" t="n">
        <f aca="false">SUMPRODUCT(('Backlog phân công'!$E$4:$E$54=$A5)*('Backlog phân công'!$G$4:$G$54&lt;=8)*('Backlog phân công'!$H$4:$H$54&gt;=8)*('Backlog phân công'!$I$4:$I$54/('Backlog phân công'!$H$4:$H$54-'Backlog phân công'!$G$4:$G$54+1)))</f>
        <v>13</v>
      </c>
    </row>
    <row r="6" customFormat="false" ht="28.35" hidden="false" customHeight="false" outlineLevel="0" collapsed="false">
      <c r="A6" s="3" t="s">
        <v>33</v>
      </c>
      <c r="B6" s="3" t="s">
        <v>34</v>
      </c>
      <c r="C6" s="3" t="n">
        <f aca="false">COUNTIF('Backlog phân công'!$E$4:$E$54,A6)</f>
        <v>12</v>
      </c>
      <c r="D6" s="3" t="n">
        <f aca="false">SUMIF('Backlog phân công'!$E$4:$E$54,A6,'Backlog phân công'!$I$4:$I$54)</f>
        <v>85</v>
      </c>
      <c r="E6" s="15" t="n">
        <f aca="false">SUMPRODUCT(('Backlog phân công'!$E$4:$E$54=$A6)*('Backlog phân công'!$G$4:$G$54&lt;=1)*('Backlog phân công'!$H$4:$H$54&gt;=1)*('Backlog phân công'!$I$4:$I$54/('Backlog phân công'!$H$4:$H$54-'Backlog phân công'!$G$4:$G$54+1)))</f>
        <v>9</v>
      </c>
      <c r="F6" s="15" t="n">
        <f aca="false">SUMPRODUCT(('Backlog phân công'!$E$4:$E$54=$A6)*('Backlog phân công'!$G$4:$G$54&lt;=2)*('Backlog phân công'!$H$4:$H$54&gt;=2)*('Backlog phân công'!$I$4:$I$54/('Backlog phân công'!$H$4:$H$54-'Backlog phân công'!$G$4:$G$54+1)))</f>
        <v>11</v>
      </c>
      <c r="G6" s="15" t="n">
        <f aca="false">SUMPRODUCT(('Backlog phân công'!$E$4:$E$54=$A6)*('Backlog phân công'!$G$4:$G$54&lt;=3)*('Backlog phân công'!$H$4:$H$54&gt;=3)*('Backlog phân công'!$I$4:$I$54/('Backlog phân công'!$H$4:$H$54-'Backlog phân công'!$G$4:$G$54+1)))</f>
        <v>8</v>
      </c>
      <c r="H6" s="15" t="n">
        <f aca="false">SUMPRODUCT(('Backlog phân công'!$E$4:$E$54=$A6)*('Backlog phân công'!$G$4:$G$54&lt;=4)*('Backlog phân công'!$H$4:$H$54&gt;=4)*('Backlog phân công'!$I$4:$I$54/('Backlog phân công'!$H$4:$H$54-'Backlog phân công'!$G$4:$G$54+1)))</f>
        <v>12</v>
      </c>
      <c r="I6" s="15" t="n">
        <f aca="false">SUMPRODUCT(('Backlog phân công'!$E$4:$E$54=$A6)*('Backlog phân công'!$G$4:$G$54&lt;=5)*('Backlog phân công'!$H$4:$H$54&gt;=5)*('Backlog phân công'!$I$4:$I$54/('Backlog phân công'!$H$4:$H$54-'Backlog phân công'!$G$4:$G$54+1)))</f>
        <v>16</v>
      </c>
      <c r="J6" s="15" t="n">
        <f aca="false">SUMPRODUCT(('Backlog phân công'!$E$4:$E$54=$A6)*('Backlog phân công'!$G$4:$G$54&lt;=6)*('Backlog phân công'!$H$4:$H$54&gt;=6)*('Backlog phân công'!$I$4:$I$54/('Backlog phân công'!$H$4:$H$54-'Backlog phân công'!$G$4:$G$54+1)))</f>
        <v>12</v>
      </c>
      <c r="K6" s="15" t="n">
        <f aca="false">SUMPRODUCT(('Backlog phân công'!$E$4:$E$54=$A6)*('Backlog phân công'!$G$4:$G$54&lt;=7)*('Backlog phân công'!$H$4:$H$54&gt;=7)*('Backlog phân công'!$I$4:$I$54/('Backlog phân công'!$H$4:$H$54-'Backlog phân công'!$G$4:$G$54+1)))</f>
        <v>13</v>
      </c>
      <c r="L6" s="15" t="n">
        <f aca="false">SUMPRODUCT(('Backlog phân công'!$E$4:$E$54=$A6)*('Backlog phân công'!$G$4:$G$54&lt;=8)*('Backlog phân công'!$H$4:$H$54&gt;=8)*('Backlog phân công'!$I$4:$I$54/('Backlog phân công'!$H$4:$H$54-'Backlog phân công'!$G$4:$G$54+1)))</f>
        <v>4</v>
      </c>
    </row>
    <row r="7" customFormat="false" ht="28.35" hidden="false" customHeight="false" outlineLevel="0" collapsed="false">
      <c r="A7" s="3" t="s">
        <v>36</v>
      </c>
      <c r="B7" s="3" t="s">
        <v>37</v>
      </c>
      <c r="C7" s="3" t="n">
        <f aca="false">COUNTIF('Backlog phân công'!$E$4:$E$54,A7)</f>
        <v>12</v>
      </c>
      <c r="D7" s="3" t="n">
        <f aca="false">SUMIF('Backlog phân công'!$E$4:$E$54,A7,'Backlog phân công'!$I$4:$I$54)</f>
        <v>83</v>
      </c>
      <c r="E7" s="15" t="n">
        <f aca="false">SUMPRODUCT(('Backlog phân công'!$E$4:$E$54=$A7)*('Backlog phân công'!$G$4:$G$54&lt;=1)*('Backlog phân công'!$H$4:$H$54&gt;=1)*('Backlog phân công'!$I$4:$I$54/('Backlog phân công'!$H$4:$H$54-'Backlog phân công'!$G$4:$G$54+1)))</f>
        <v>11</v>
      </c>
      <c r="F7" s="15" t="n">
        <f aca="false">SUMPRODUCT(('Backlog phân công'!$E$4:$E$54=$A7)*('Backlog phân công'!$G$4:$G$54&lt;=2)*('Backlog phân công'!$H$4:$H$54&gt;=2)*('Backlog phân công'!$I$4:$I$54/('Backlog phân công'!$H$4:$H$54-'Backlog phân công'!$G$4:$G$54+1)))</f>
        <v>7</v>
      </c>
      <c r="G7" s="15" t="n">
        <f aca="false">SUMPRODUCT(('Backlog phân công'!$E$4:$E$54=$A7)*('Backlog phân công'!$G$4:$G$54&lt;=3)*('Backlog phân công'!$H$4:$H$54&gt;=3)*('Backlog phân công'!$I$4:$I$54/('Backlog phân công'!$H$4:$H$54-'Backlog phân công'!$G$4:$G$54+1)))</f>
        <v>4</v>
      </c>
      <c r="H7" s="15" t="n">
        <f aca="false">SUMPRODUCT(('Backlog phân công'!$E$4:$E$54=$A7)*('Backlog phân công'!$G$4:$G$54&lt;=4)*('Backlog phân công'!$H$4:$H$54&gt;=4)*('Backlog phân công'!$I$4:$I$54/('Backlog phân công'!$H$4:$H$54-'Backlog phân công'!$G$4:$G$54+1)))</f>
        <v>12</v>
      </c>
      <c r="I7" s="15" t="n">
        <f aca="false">SUMPRODUCT(('Backlog phân công'!$E$4:$E$54=$A7)*('Backlog phân công'!$G$4:$G$54&lt;=5)*('Backlog phân công'!$H$4:$H$54&gt;=5)*('Backlog phân công'!$I$4:$I$54/('Backlog phân công'!$H$4:$H$54-'Backlog phân công'!$G$4:$G$54+1)))</f>
        <v>12</v>
      </c>
      <c r="J7" s="15" t="n">
        <f aca="false">SUMPRODUCT(('Backlog phân công'!$E$4:$E$54=$A7)*('Backlog phân công'!$G$4:$G$54&lt;=6)*('Backlog phân công'!$H$4:$H$54&gt;=6)*('Backlog phân công'!$I$4:$I$54/('Backlog phân công'!$H$4:$H$54-'Backlog phân công'!$G$4:$G$54+1)))</f>
        <v>10.5</v>
      </c>
      <c r="K7" s="15" t="n">
        <f aca="false">SUMPRODUCT(('Backlog phân công'!$E$4:$E$54=$A7)*('Backlog phân công'!$G$4:$G$54&lt;=7)*('Backlog phân công'!$H$4:$H$54&gt;=7)*('Backlog phân công'!$I$4:$I$54/('Backlog phân công'!$H$4:$H$54-'Backlog phân công'!$G$4:$G$54+1)))</f>
        <v>8.5</v>
      </c>
      <c r="L7" s="15" t="n">
        <f aca="false">SUMPRODUCT(('Backlog phân công'!$E$4:$E$54=$A7)*('Backlog phân công'!$G$4:$G$54&lt;=8)*('Backlog phân công'!$H$4:$H$54&gt;=8)*('Backlog phân công'!$I$4:$I$54/('Backlog phân công'!$H$4:$H$54-'Backlog phân công'!$G$4:$G$54+1)))</f>
        <v>18</v>
      </c>
    </row>
    <row r="8" customFormat="false" ht="15" hidden="false" customHeight="false" outlineLevel="0" collapsed="false">
      <c r="A8" s="16" t="s">
        <v>498</v>
      </c>
      <c r="C8" s="17" t="n">
        <f aca="false">SUM(C4:C7)</f>
        <v>51</v>
      </c>
      <c r="D8" s="17" t="n">
        <f aca="false">SUM(D4:D7)</f>
        <v>333</v>
      </c>
      <c r="E8" s="17" t="n">
        <f aca="false">SUM(E4:E7)</f>
        <v>39</v>
      </c>
      <c r="F8" s="17" t="n">
        <f aca="false">SUM(F4:F7)</f>
        <v>38</v>
      </c>
      <c r="G8" s="17" t="n">
        <f aca="false">SUM(G4:G7)</f>
        <v>41</v>
      </c>
      <c r="H8" s="17" t="n">
        <f aca="false">SUM(H4:H7)</f>
        <v>47</v>
      </c>
      <c r="I8" s="17" t="n">
        <f aca="false">SUM(I4:I7)</f>
        <v>42</v>
      </c>
      <c r="J8" s="17" t="n">
        <f aca="false">SUM(J4:J7)</f>
        <v>32.5</v>
      </c>
      <c r="K8" s="17" t="n">
        <f aca="false">SUM(K4:K7)</f>
        <v>48</v>
      </c>
      <c r="L8" s="17" t="n">
        <f aca="false">SUM(L4:L7)</f>
        <v>45.5</v>
      </c>
    </row>
    <row r="10" customFormat="false" ht="15" hidden="false" customHeight="true" outlineLevel="0" collapsed="false">
      <c r="A10" s="18" t="s">
        <v>499</v>
      </c>
      <c r="B10" s="19" t="s">
        <v>500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2" customFormat="false" ht="15" hidden="false" customHeight="false" outlineLevel="0" collapsed="false">
      <c r="A12" s="16" t="s">
        <v>501</v>
      </c>
      <c r="B12" s="16" t="s">
        <v>117</v>
      </c>
      <c r="C12" s="16" t="s">
        <v>147</v>
      </c>
      <c r="D12" s="16" t="s">
        <v>502</v>
      </c>
    </row>
    <row r="13" customFormat="false" ht="15" hidden="false" customHeight="false" outlineLevel="0" collapsed="false">
      <c r="A13" s="0" t="s">
        <v>27</v>
      </c>
      <c r="B13" s="0" t="n">
        <f aca="false">SUMIFS('Backlog phân công'!$I$4:$I$54,'Backlog phân công'!$E$4:$E$54,A13,'Backlog phân công'!$J$4:$J$54,"P0")</f>
        <v>78</v>
      </c>
      <c r="C13" s="0" t="n">
        <f aca="false">SUMIFS('Backlog phân công'!$I$4:$I$54,'Backlog phân công'!$E$4:$E$54,A13,'Backlog phân công'!$J$4:$J$54,"P1")</f>
        <v>8</v>
      </c>
      <c r="D13" s="0" t="s">
        <v>503</v>
      </c>
    </row>
    <row r="14" customFormat="false" ht="15" hidden="false" customHeight="false" outlineLevel="0" collapsed="false">
      <c r="A14" s="0" t="s">
        <v>30</v>
      </c>
      <c r="B14" s="0" t="n">
        <f aca="false">SUMIFS('Backlog phân công'!$I$4:$I$54,'Backlog phân công'!$E$4:$E$54,A14,'Backlog phân công'!$J$4:$J$54,"P0")</f>
        <v>67</v>
      </c>
      <c r="C14" s="0" t="n">
        <f aca="false">SUMIFS('Backlog phân công'!$I$4:$I$54,'Backlog phân công'!$E$4:$E$54,A14,'Backlog phân công'!$J$4:$J$54,"P1")</f>
        <v>12</v>
      </c>
    </row>
    <row r="15" customFormat="false" ht="15" hidden="false" customHeight="false" outlineLevel="0" collapsed="false">
      <c r="A15" s="0" t="s">
        <v>33</v>
      </c>
      <c r="B15" s="0" t="n">
        <f aca="false">SUMIFS('Backlog phân công'!$I$4:$I$54,'Backlog phân công'!$E$4:$E$54,A15,'Backlog phân công'!$J$4:$J$54,"P0")</f>
        <v>67</v>
      </c>
      <c r="C15" s="0" t="n">
        <f aca="false">SUMIFS('Backlog phân công'!$I$4:$I$54,'Backlog phân công'!$E$4:$E$54,A15,'Backlog phân công'!$J$4:$J$54,"P1")</f>
        <v>18</v>
      </c>
    </row>
    <row r="16" customFormat="false" ht="15" hidden="false" customHeight="false" outlineLevel="0" collapsed="false">
      <c r="A16" s="0" t="s">
        <v>36</v>
      </c>
      <c r="B16" s="0" t="n">
        <f aca="false">SUMIFS('Backlog phân công'!$I$4:$I$54,'Backlog phân công'!$E$4:$E$54,A16,'Backlog phân công'!$J$4:$J$54,"P0")</f>
        <v>83</v>
      </c>
      <c r="C16" s="0" t="n">
        <f aca="false">SUMIFS('Backlog phân công'!$I$4:$I$54,'Backlog phân công'!$E$4:$E$54,A16,'Backlog phân công'!$J$4:$J$54,"P1")</f>
        <v>0</v>
      </c>
    </row>
  </sheetData>
  <mergeCells count="2">
    <mergeCell ref="A1:L1"/>
    <mergeCell ref="B10:L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4"/>
    <col collapsed="false" customWidth="true" hidden="false" outlineLevel="0" max="5" min="5" style="0" width="65"/>
    <col collapsed="false" customWidth="true" hidden="false" outlineLevel="0" max="6" min="6" style="0" width="23"/>
  </cols>
  <sheetData>
    <row r="1" customFormat="false" ht="30" hidden="false" customHeight="true" outlineLevel="0" collapsed="false">
      <c r="A1" s="1" t="s">
        <v>504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167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477</v>
      </c>
    </row>
    <row r="4" customFormat="false" ht="28.35" hidden="false" customHeight="false" outlineLevel="0" collapsed="false">
      <c r="A4" s="3" t="s">
        <v>509</v>
      </c>
      <c r="B4" s="3" t="s">
        <v>510</v>
      </c>
      <c r="C4" s="20" t="s">
        <v>511</v>
      </c>
      <c r="D4" s="20" t="s">
        <v>511</v>
      </c>
      <c r="E4" s="3" t="s">
        <v>512</v>
      </c>
      <c r="F4" s="3" t="s">
        <v>27</v>
      </c>
    </row>
    <row r="5" customFormat="false" ht="28.35" hidden="false" customHeight="false" outlineLevel="0" collapsed="false">
      <c r="A5" s="3" t="s">
        <v>513</v>
      </c>
      <c r="B5" s="3" t="s">
        <v>514</v>
      </c>
      <c r="C5" s="20" t="s">
        <v>511</v>
      </c>
      <c r="D5" s="21" t="s">
        <v>515</v>
      </c>
      <c r="E5" s="3" t="s">
        <v>516</v>
      </c>
      <c r="F5" s="3" t="s">
        <v>30</v>
      </c>
    </row>
    <row r="6" customFormat="false" ht="28.35" hidden="false" customHeight="false" outlineLevel="0" collapsed="false">
      <c r="A6" s="3" t="s">
        <v>517</v>
      </c>
      <c r="B6" s="3" t="s">
        <v>518</v>
      </c>
      <c r="C6" s="20" t="s">
        <v>511</v>
      </c>
      <c r="D6" s="20" t="s">
        <v>511</v>
      </c>
      <c r="E6" s="3" t="s">
        <v>519</v>
      </c>
      <c r="F6" s="3" t="s">
        <v>27</v>
      </c>
    </row>
    <row r="7" customFormat="false" ht="28.35" hidden="false" customHeight="false" outlineLevel="0" collapsed="false">
      <c r="A7" s="3" t="s">
        <v>520</v>
      </c>
      <c r="B7" s="3" t="s">
        <v>521</v>
      </c>
      <c r="C7" s="21" t="s">
        <v>515</v>
      </c>
      <c r="D7" s="20" t="s">
        <v>511</v>
      </c>
      <c r="E7" s="3" t="s">
        <v>522</v>
      </c>
      <c r="F7" s="3" t="s">
        <v>33</v>
      </c>
    </row>
    <row r="8" customFormat="false" ht="15" hidden="false" customHeight="false" outlineLevel="0" collapsed="false">
      <c r="A8" s="3" t="s">
        <v>523</v>
      </c>
      <c r="B8" s="3" t="s">
        <v>524</v>
      </c>
      <c r="C8" s="20" t="s">
        <v>511</v>
      </c>
      <c r="D8" s="21" t="s">
        <v>515</v>
      </c>
      <c r="E8" s="3" t="s">
        <v>525</v>
      </c>
      <c r="F8" s="3" t="s">
        <v>33</v>
      </c>
    </row>
    <row r="9" customFormat="false" ht="15" hidden="false" customHeight="false" outlineLevel="0" collapsed="false">
      <c r="A9" s="3" t="s">
        <v>526</v>
      </c>
      <c r="B9" s="3" t="s">
        <v>527</v>
      </c>
      <c r="C9" s="21" t="s">
        <v>515</v>
      </c>
      <c r="D9" s="20" t="s">
        <v>511</v>
      </c>
      <c r="E9" s="3" t="s">
        <v>528</v>
      </c>
      <c r="F9" s="3" t="s">
        <v>33</v>
      </c>
    </row>
    <row r="10" customFormat="false" ht="28.35" hidden="false" customHeight="false" outlineLevel="0" collapsed="false">
      <c r="A10" s="3" t="s">
        <v>529</v>
      </c>
      <c r="B10" s="3" t="s">
        <v>530</v>
      </c>
      <c r="C10" s="21" t="s">
        <v>515</v>
      </c>
      <c r="D10" s="21" t="s">
        <v>515</v>
      </c>
      <c r="E10" s="3" t="s">
        <v>531</v>
      </c>
      <c r="F10" s="3" t="s">
        <v>30</v>
      </c>
    </row>
    <row r="11" customFormat="false" ht="15" hidden="false" customHeight="false" outlineLevel="0" collapsed="false">
      <c r="A11" s="3" t="s">
        <v>532</v>
      </c>
      <c r="B11" s="3" t="s">
        <v>533</v>
      </c>
      <c r="C11" s="20" t="s">
        <v>511</v>
      </c>
      <c r="D11" s="21" t="s">
        <v>515</v>
      </c>
      <c r="E11" s="3" t="s">
        <v>534</v>
      </c>
      <c r="F11" s="3" t="s">
        <v>27</v>
      </c>
    </row>
    <row r="12" customFormat="false" ht="15" hidden="false" customHeight="false" outlineLevel="0" collapsed="false">
      <c r="A12" s="3" t="s">
        <v>535</v>
      </c>
      <c r="B12" s="3" t="s">
        <v>536</v>
      </c>
      <c r="C12" s="20" t="s">
        <v>511</v>
      </c>
      <c r="D12" s="20" t="s">
        <v>511</v>
      </c>
      <c r="E12" s="3" t="s">
        <v>537</v>
      </c>
      <c r="F12" s="3" t="s">
        <v>27</v>
      </c>
    </row>
    <row r="13" customFormat="false" ht="15" hidden="false" customHeight="false" outlineLevel="0" collapsed="false">
      <c r="A13" s="3" t="s">
        <v>538</v>
      </c>
      <c r="B13" s="3" t="s">
        <v>539</v>
      </c>
      <c r="C13" s="21" t="s">
        <v>515</v>
      </c>
      <c r="D13" s="22" t="s">
        <v>540</v>
      </c>
      <c r="E13" s="3" t="s">
        <v>541</v>
      </c>
      <c r="F13" s="3" t="s">
        <v>36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34"/>
  </cols>
  <sheetData>
    <row r="1" customFormat="false" ht="30" hidden="false" customHeight="true" outlineLevel="0" collapsed="false">
      <c r="A1" s="1" t="s">
        <v>542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543</v>
      </c>
      <c r="B3" s="5" t="s">
        <v>1</v>
      </c>
      <c r="C3" s="5" t="s">
        <v>544</v>
      </c>
      <c r="D3" s="5" t="s">
        <v>545</v>
      </c>
      <c r="E3" s="5" t="s">
        <v>546</v>
      </c>
      <c r="F3" s="5" t="s">
        <v>502</v>
      </c>
    </row>
    <row r="4" customFormat="false" ht="28.35" hidden="false" customHeight="false" outlineLevel="0" collapsed="false">
      <c r="A4" s="3" t="n">
        <v>1</v>
      </c>
      <c r="B4" s="3" t="s">
        <v>547</v>
      </c>
      <c r="C4" s="3" t="s">
        <v>548</v>
      </c>
      <c r="D4" s="3" t="s">
        <v>549</v>
      </c>
      <c r="E4" s="3" t="s">
        <v>183</v>
      </c>
      <c r="F4" s="3" t="s">
        <v>550</v>
      </c>
    </row>
    <row r="5" customFormat="false" ht="28.35" hidden="false" customHeight="false" outlineLevel="0" collapsed="false">
      <c r="A5" s="3" t="n">
        <v>2</v>
      </c>
      <c r="B5" s="3" t="s">
        <v>551</v>
      </c>
      <c r="C5" s="3" t="s">
        <v>552</v>
      </c>
      <c r="D5" s="3" t="s">
        <v>553</v>
      </c>
      <c r="E5" s="3" t="s">
        <v>554</v>
      </c>
      <c r="F5" s="3" t="s">
        <v>555</v>
      </c>
    </row>
    <row r="6" customFormat="false" ht="28.35" hidden="false" customHeight="false" outlineLevel="0" collapsed="false">
      <c r="A6" s="3" t="n">
        <v>3</v>
      </c>
      <c r="B6" s="3" t="s">
        <v>556</v>
      </c>
      <c r="C6" s="3" t="s">
        <v>557</v>
      </c>
      <c r="D6" s="3" t="s">
        <v>558</v>
      </c>
      <c r="E6" s="3" t="s">
        <v>559</v>
      </c>
      <c r="F6" s="3" t="s">
        <v>560</v>
      </c>
    </row>
    <row r="7" customFormat="false" ht="28.35" hidden="false" customHeight="false" outlineLevel="0" collapsed="false">
      <c r="A7" s="3" t="n">
        <v>4</v>
      </c>
      <c r="B7" s="3" t="s">
        <v>561</v>
      </c>
      <c r="C7" s="3" t="s">
        <v>562</v>
      </c>
      <c r="D7" s="3" t="s">
        <v>563</v>
      </c>
      <c r="E7" s="3" t="s">
        <v>564</v>
      </c>
      <c r="F7" s="3" t="s">
        <v>565</v>
      </c>
    </row>
    <row r="8" customFormat="false" ht="15" hidden="false" customHeight="false" outlineLevel="0" collapsed="false">
      <c r="A8" s="3" t="n">
        <v>5</v>
      </c>
      <c r="B8" s="3" t="s">
        <v>566</v>
      </c>
      <c r="C8" s="3" t="s">
        <v>567</v>
      </c>
      <c r="D8" s="3" t="s">
        <v>568</v>
      </c>
      <c r="E8" s="3" t="s">
        <v>183</v>
      </c>
      <c r="F8" s="3"/>
    </row>
    <row r="9" customFormat="false" ht="28.35" hidden="false" customHeight="false" outlineLevel="0" collapsed="false">
      <c r="A9" s="3" t="n">
        <v>6</v>
      </c>
      <c r="B9" s="3" t="s">
        <v>569</v>
      </c>
      <c r="C9" s="3" t="s">
        <v>570</v>
      </c>
      <c r="D9" s="3" t="s">
        <v>571</v>
      </c>
      <c r="E9" s="3" t="s">
        <v>564</v>
      </c>
      <c r="F9" s="3" t="s">
        <v>572</v>
      </c>
    </row>
    <row r="10" customFormat="false" ht="28.35" hidden="false" customHeight="false" outlineLevel="0" collapsed="false">
      <c r="A10" s="3" t="n">
        <v>7</v>
      </c>
      <c r="B10" s="3" t="s">
        <v>573</v>
      </c>
      <c r="C10" s="3" t="s">
        <v>574</v>
      </c>
      <c r="D10" s="3" t="s">
        <v>575</v>
      </c>
      <c r="E10" s="3" t="s">
        <v>554</v>
      </c>
      <c r="F10" s="3" t="s">
        <v>576</v>
      </c>
    </row>
    <row r="11" customFormat="false" ht="15" hidden="false" customHeight="false" outlineLevel="0" collapsed="false">
      <c r="A11" s="3" t="n">
        <v>8</v>
      </c>
      <c r="B11" s="3" t="s">
        <v>577</v>
      </c>
      <c r="C11" s="3" t="s">
        <v>578</v>
      </c>
      <c r="D11" s="3" t="s">
        <v>579</v>
      </c>
      <c r="E11" s="3" t="s">
        <v>183</v>
      </c>
      <c r="F11" s="3" t="s">
        <v>580</v>
      </c>
    </row>
    <row r="14" customFormat="false" ht="28.35" hidden="false" customHeight="true" outlineLevel="0" collapsed="false">
      <c r="A14" s="2" t="s">
        <v>581</v>
      </c>
      <c r="B14" s="3" t="s">
        <v>582</v>
      </c>
      <c r="C14" s="3"/>
      <c r="D14" s="3"/>
      <c r="E14" s="3"/>
      <c r="F14" s="3"/>
    </row>
  </sheetData>
  <mergeCells count="2">
    <mergeCell ref="A1:F1"/>
    <mergeCell ref="B14:F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2026-10-02T00:14:50Z</dcterms:created>
  <dc:creator>openpyxl</dc:creator>
  <dc:description/>
  <dc:language>en-US</dc:language>
  <cp:lastModifiedBy/>
  <dcterms:modified xsi:type="dcterms:W3CDTF">2026-10-02T00:14:53Z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